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58A15E1-12C4-40C2-B05B-157976C340A5}" xr6:coauthVersionLast="47" xr6:coauthVersionMax="47" xr10:uidLastSave="{00000000-0000-0000-0000-000000000000}"/>
  <bookViews>
    <workbookView xWindow="-120" yWindow="-120" windowWidth="29040" windowHeight="15720" tabRatio="784" activeTab="1" xr2:uid="{00000000-000D-0000-FFFF-FFFF00000000}"/>
  </bookViews>
  <sheets>
    <sheet name="Revenue dynamics" sheetId="1" r:id="rId1"/>
    <sheet name="ABC-analysis" sheetId="2" r:id="rId2"/>
    <sheet name="RFM-analysis" sheetId="3" r:id="rId3"/>
    <sheet name="Retention rate &amp; LTV" sheetId="4" r:id="rId4"/>
    <sheet name="Supply Chain Analysis" sheetId="5" r:id="rId5"/>
    <sheet name="Shippers KPI" sheetId="6" r:id="rId6"/>
    <sheet name="Employees KPI" sheetId="7" r:id="rId7"/>
  </sheets>
  <calcPr calcId="191029"/>
  <pivotCaches>
    <pivotCache cacheId="0" r:id="rId8"/>
    <pivotCache cacheId="1" r:id="rId9"/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N14" i="3"/>
  <c r="N15" i="3"/>
  <c r="N16" i="3"/>
  <c r="N17" i="3"/>
  <c r="N18" i="3"/>
  <c r="N19" i="3"/>
  <c r="N20" i="3"/>
  <c r="N13" i="3"/>
  <c r="M2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80D5B5-B46F-4823-B4D6-73FD92B6CA65}" keepAlive="1" name="Запрос — Таблица1" description="Соединение с запросом &quot;Таблица1&quot; в книге." type="5" refreshedVersion="0" background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<sst xmlns="http://schemas.openxmlformats.org/spreadsheetml/2006/main" count="970" uniqueCount="479">
  <si>
    <t>month</t>
  </si>
  <si>
    <t>total_monthly_revenue</t>
  </si>
  <si>
    <t>prev_month_revenue</t>
  </si>
  <si>
    <t>revenue_increase</t>
  </si>
  <si>
    <t>Côte de Blaye</t>
  </si>
  <si>
    <t>A</t>
  </si>
  <si>
    <t>Thüringer Rostbratwurst</t>
  </si>
  <si>
    <t>Raclette Courdavault</t>
  </si>
  <si>
    <t>Tarte au sucre</t>
  </si>
  <si>
    <t>Camembert Pierrot</t>
  </si>
  <si>
    <t>Gnocchi di nonna Alice</t>
  </si>
  <si>
    <t>Manjimup Dried Apples</t>
  </si>
  <si>
    <t>Alice Mutton</t>
  </si>
  <si>
    <t>Carnarvon Tigers</t>
  </si>
  <si>
    <t>Rössle Sauerkraut</t>
  </si>
  <si>
    <t>Mozzarella di Giovanni</t>
  </si>
  <si>
    <t>Ipoh Coffee</t>
  </si>
  <si>
    <t>Sir Rodney's Marmalade</t>
  </si>
  <si>
    <t>Uncle Bob's Organic Dried Pears</t>
  </si>
  <si>
    <t>Wimmers gute Semmelknödel</t>
  </si>
  <si>
    <t>Gudbrandsdalsost</t>
  </si>
  <si>
    <t>Ikura</t>
  </si>
  <si>
    <t>Perth Pasties</t>
  </si>
  <si>
    <t>Gumbär Gummibärchen</t>
  </si>
  <si>
    <t>Flotemysost</t>
  </si>
  <si>
    <t>Boston Crab Meat</t>
  </si>
  <si>
    <t>Pâté chinois</t>
  </si>
  <si>
    <t>Pavlova</t>
  </si>
  <si>
    <t>Vegie-spread</t>
  </si>
  <si>
    <t>Chang</t>
  </si>
  <si>
    <t>Lakkalikööri</t>
  </si>
  <si>
    <t>Schoggi Schokolade</t>
  </si>
  <si>
    <t>Gorgonzola Telino</t>
  </si>
  <si>
    <t>Sirop d'érable</t>
  </si>
  <si>
    <t>Louisiana Fiery Hot Pepper Sauce</t>
  </si>
  <si>
    <t>Steeleye Stout</t>
  </si>
  <si>
    <t>Inlagd Sill</t>
  </si>
  <si>
    <t>Nord-Ost Matjeshering</t>
  </si>
  <si>
    <t>Queso Cabrales</t>
  </si>
  <si>
    <t>Chai</t>
  </si>
  <si>
    <t>Northwoods Cranberry Sauce</t>
  </si>
  <si>
    <t>B</t>
  </si>
  <si>
    <t>Chartreuse verte</t>
  </si>
  <si>
    <t>Queso Manchego La Pastora</t>
  </si>
  <si>
    <t>Outback Lager</t>
  </si>
  <si>
    <t>Gula Malacca</t>
  </si>
  <si>
    <t>Maxilaku</t>
  </si>
  <si>
    <t>Original Frankfurter grüne Soße</t>
  </si>
  <si>
    <t>Sir Rodney's Scones</t>
  </si>
  <si>
    <t>Scottish Longbreads</t>
  </si>
  <si>
    <t>Jack's New England Clam Chowder</t>
  </si>
  <si>
    <t>Singaporean Hokkien Fried Mee</t>
  </si>
  <si>
    <t>Chef Anton's Cajun Seasoning</t>
  </si>
  <si>
    <t>Mascarpone Fabioli</t>
  </si>
  <si>
    <t>Rhönbräu Klosterbier</t>
  </si>
  <si>
    <t>Tofu</t>
  </si>
  <si>
    <t>Ravioli Angelo</t>
  </si>
  <si>
    <t>Mishi Kobe Niku</t>
  </si>
  <si>
    <t>Grandma's Boysenberry Spread</t>
  </si>
  <si>
    <t>Gustaf's Knäckebröd</t>
  </si>
  <si>
    <t>Sasquatch Ale</t>
  </si>
  <si>
    <t>Spegesild</t>
  </si>
  <si>
    <t>Escargots de Bourgogne</t>
  </si>
  <si>
    <t>Teatime Chocolate Biscuits</t>
  </si>
  <si>
    <t>Chef Anton's Gumbo Mix</t>
  </si>
  <si>
    <t>C</t>
  </si>
  <si>
    <t>Konbu</t>
  </si>
  <si>
    <t>Tourtière</t>
  </si>
  <si>
    <t>Tunnbröd</t>
  </si>
  <si>
    <t>Guaraná Fantástica</t>
  </si>
  <si>
    <t>Rogede sild</t>
  </si>
  <si>
    <t>Röd Kaviar</t>
  </si>
  <si>
    <t>Zaanse koeken</t>
  </si>
  <si>
    <t>NuNuCa Nuß-Nougat-Creme</t>
  </si>
  <si>
    <t>Valkoinen suklaa</t>
  </si>
  <si>
    <t>Louisiana Hot Spiced Okra</t>
  </si>
  <si>
    <t>Filo Mix</t>
  </si>
  <si>
    <t>Aniseed Syrup</t>
  </si>
  <si>
    <t>Gravad lax</t>
  </si>
  <si>
    <t>Longlife Tofu</t>
  </si>
  <si>
    <t>Laughing Lumberjack Lager</t>
  </si>
  <si>
    <t>Genen Shouyu</t>
  </si>
  <si>
    <t>Geitost</t>
  </si>
  <si>
    <t>Chocolade</t>
  </si>
  <si>
    <t>product_id</t>
  </si>
  <si>
    <t>product_name</t>
  </si>
  <si>
    <t>cumulative_share</t>
  </si>
  <si>
    <t>category</t>
  </si>
  <si>
    <t>product_revenue</t>
  </si>
  <si>
    <t>total_revenue</t>
  </si>
  <si>
    <t>FISSA</t>
  </si>
  <si>
    <t>FISSA Fabrica Inter. Salchichas S.A.</t>
  </si>
  <si>
    <t>Hibernating</t>
  </si>
  <si>
    <t>PARIS</t>
  </si>
  <si>
    <t>Paris spécialités</t>
  </si>
  <si>
    <t>CENTC</t>
  </si>
  <si>
    <t>Centro comercial Moctezuma</t>
  </si>
  <si>
    <t>Lost</t>
  </si>
  <si>
    <t>LAZYK</t>
  </si>
  <si>
    <t>Lazy K Kountry Store</t>
  </si>
  <si>
    <t>HUNGC</t>
  </si>
  <si>
    <t>Hungry Coyote Import Store</t>
  </si>
  <si>
    <t>MEREP</t>
  </si>
  <si>
    <t>Mère Paillarde</t>
  </si>
  <si>
    <t>Cant lose them</t>
  </si>
  <si>
    <t>FAMIA</t>
  </si>
  <si>
    <t>Familia Arquibaldo</t>
  </si>
  <si>
    <t>VINET</t>
  </si>
  <si>
    <t>Vins et alcools Chevalier</t>
  </si>
  <si>
    <t>GROSR</t>
  </si>
  <si>
    <t>GROSELLA-Restaurante</t>
  </si>
  <si>
    <t>FOLIG</t>
  </si>
  <si>
    <t>Folies gourmandes</t>
  </si>
  <si>
    <t>LAUGB</t>
  </si>
  <si>
    <t>Laughing Bacchus Wine Cellars</t>
  </si>
  <si>
    <t>TRAIH</t>
  </si>
  <si>
    <t>Trail's Head Gourmet Provisioners</t>
  </si>
  <si>
    <t>BLONP</t>
  </si>
  <si>
    <t>Blondesddsl père et fils</t>
  </si>
  <si>
    <t>TRADH</t>
  </si>
  <si>
    <t>Tradição Hipermercados</t>
  </si>
  <si>
    <t>VICTE</t>
  </si>
  <si>
    <t>Victuailles en stock</t>
  </si>
  <si>
    <t>CONSH</t>
  </si>
  <si>
    <t>Consolidated Holdings</t>
  </si>
  <si>
    <t>ANTON</t>
  </si>
  <si>
    <t>Antonio Moreno Taquería</t>
  </si>
  <si>
    <t>SEVES</t>
  </si>
  <si>
    <t>Seven Seas Imports</t>
  </si>
  <si>
    <t>LETSS</t>
  </si>
  <si>
    <t>Let's Stop N Shop</t>
  </si>
  <si>
    <t>DUMON</t>
  </si>
  <si>
    <t>Du monde entier</t>
  </si>
  <si>
    <t>BERGS</t>
  </si>
  <si>
    <t>Berglunds snabbköp</t>
  </si>
  <si>
    <t>ANATR</t>
  </si>
  <si>
    <t>Ana Trujillo Emparedados y helados</t>
  </si>
  <si>
    <t>GALED</t>
  </si>
  <si>
    <t>Galería del gastrónomo</t>
  </si>
  <si>
    <t>ISLAT</t>
  </si>
  <si>
    <t>Island Trading</t>
  </si>
  <si>
    <t>Needs attention</t>
  </si>
  <si>
    <t>WELLI</t>
  </si>
  <si>
    <t>Wellington Importadora</t>
  </si>
  <si>
    <t>MORGK</t>
  </si>
  <si>
    <t>Morgenstern Gesundkost</t>
  </si>
  <si>
    <t>MAGAA</t>
  </si>
  <si>
    <t>Magazzini Alimentari Riuniti</t>
  </si>
  <si>
    <t>FURIB</t>
  </si>
  <si>
    <t>Furia Bacalhau e Frutos do Mar</t>
  </si>
  <si>
    <t>TOMSP</t>
  </si>
  <si>
    <t>Toms Spezialitäten</t>
  </si>
  <si>
    <t>BOLID</t>
  </si>
  <si>
    <t>Bólido Comidas preparadas</t>
  </si>
  <si>
    <t>LACOR</t>
  </si>
  <si>
    <t>La corne d'abondance</t>
  </si>
  <si>
    <t>FRANR</t>
  </si>
  <si>
    <t>France restauration</t>
  </si>
  <si>
    <t>SPLIR</t>
  </si>
  <si>
    <t>Split Rail Beer &amp; Ale</t>
  </si>
  <si>
    <t>OCEAN</t>
  </si>
  <si>
    <t>Océano Atlántico Ltda.</t>
  </si>
  <si>
    <t>QUEDE</t>
  </si>
  <si>
    <t>Que Delícia</t>
  </si>
  <si>
    <t>THEBI</t>
  </si>
  <si>
    <t>The Big Cheese</t>
  </si>
  <si>
    <t>VAFFE</t>
  </si>
  <si>
    <t>Vaffeljernet</t>
  </si>
  <si>
    <t>THECR</t>
  </si>
  <si>
    <t>The Cracker Box</t>
  </si>
  <si>
    <t>MAISD</t>
  </si>
  <si>
    <t>Maison Dewey</t>
  </si>
  <si>
    <t>WILMK</t>
  </si>
  <si>
    <t>Wilman Kala</t>
  </si>
  <si>
    <t>PRINI</t>
  </si>
  <si>
    <t>Princesa Isabel Vinhos</t>
  </si>
  <si>
    <t>FRANK</t>
  </si>
  <si>
    <t>Frankenversand</t>
  </si>
  <si>
    <t>ALFKI</t>
  </si>
  <si>
    <t>Alfreds Futterkiste</t>
  </si>
  <si>
    <t>ROMEY</t>
  </si>
  <si>
    <t>Romero y tomillo</t>
  </si>
  <si>
    <t>SANTG</t>
  </si>
  <si>
    <t>Santé Gourmet</t>
  </si>
  <si>
    <t>AROUT</t>
  </si>
  <si>
    <t>Around the Horn</t>
  </si>
  <si>
    <t>LONEP</t>
  </si>
  <si>
    <t>Lonesome Pine Restaurant</t>
  </si>
  <si>
    <t>Promising</t>
  </si>
  <si>
    <t>RANCH</t>
  </si>
  <si>
    <t>Rancho grande</t>
  </si>
  <si>
    <t>QUICK</t>
  </si>
  <si>
    <t>QUICK-Stop</t>
  </si>
  <si>
    <t>VIP</t>
  </si>
  <si>
    <t>OTTIK</t>
  </si>
  <si>
    <t>Ottilies Käseladen</t>
  </si>
  <si>
    <t>BSBEV</t>
  </si>
  <si>
    <t>B's Beverages</t>
  </si>
  <si>
    <t>Loyal</t>
  </si>
  <si>
    <t>WARTH</t>
  </si>
  <si>
    <t>Wartian Herkku</t>
  </si>
  <si>
    <t>KOENE</t>
  </si>
  <si>
    <t>Königlich Essen</t>
  </si>
  <si>
    <t>OLDWO</t>
  </si>
  <si>
    <t>Old World Delicatessen</t>
  </si>
  <si>
    <t>SUPRD</t>
  </si>
  <si>
    <t>Suprêmes délices</t>
  </si>
  <si>
    <t>GODOS</t>
  </si>
  <si>
    <t>Godos Cocina Típica</t>
  </si>
  <si>
    <t>LINOD</t>
  </si>
  <si>
    <t>LINO-Delicateses</t>
  </si>
  <si>
    <t>COMMI</t>
  </si>
  <si>
    <t>Comércio Mineiro</t>
  </si>
  <si>
    <t>CHOPS</t>
  </si>
  <si>
    <t>Chop-suey Chinese</t>
  </si>
  <si>
    <t>SPECD</t>
  </si>
  <si>
    <t>Spécialités du monde</t>
  </si>
  <si>
    <t>New</t>
  </si>
  <si>
    <t>WOLZA</t>
  </si>
  <si>
    <t>Wolski  Zajazd</t>
  </si>
  <si>
    <t>WANDK</t>
  </si>
  <si>
    <t>Die Wandernde Kuh</t>
  </si>
  <si>
    <t>BOTTM</t>
  </si>
  <si>
    <t>Bottom-Dollar Markets</t>
  </si>
  <si>
    <t>GOURL</t>
  </si>
  <si>
    <t>Gourmet Lanchonetes</t>
  </si>
  <si>
    <t>PICCO</t>
  </si>
  <si>
    <t>Piccolo und mehr</t>
  </si>
  <si>
    <t>LAMAI</t>
  </si>
  <si>
    <t>La maison d'Asie</t>
  </si>
  <si>
    <t>HANAR</t>
  </si>
  <si>
    <t>Hanari Carnes</t>
  </si>
  <si>
    <t>FOLKO</t>
  </si>
  <si>
    <t>Folk och fä HB</t>
  </si>
  <si>
    <t>EASTC</t>
  </si>
  <si>
    <t>Eastern Connection</t>
  </si>
  <si>
    <t>HILAA</t>
  </si>
  <si>
    <t>HILARION-Abastos</t>
  </si>
  <si>
    <t>CACTU</t>
  </si>
  <si>
    <t>Cactus Comidas para llevar</t>
  </si>
  <si>
    <t>BLAUS</t>
  </si>
  <si>
    <t>Blauer See Delikatessen</t>
  </si>
  <si>
    <t>NORTS</t>
  </si>
  <si>
    <t>North/South</t>
  </si>
  <si>
    <t>RICAR</t>
  </si>
  <si>
    <t>Ricardo Adocicados</t>
  </si>
  <si>
    <t>GREAL</t>
  </si>
  <si>
    <t>Great Lakes Food Market</t>
  </si>
  <si>
    <t>REGGC</t>
  </si>
  <si>
    <t>Reggiani Caseifici</t>
  </si>
  <si>
    <t>FRANS</t>
  </si>
  <si>
    <t>Franchi S.p.A.</t>
  </si>
  <si>
    <t>HUNGO</t>
  </si>
  <si>
    <t>Hungry Owl All-Night Grocers</t>
  </si>
  <si>
    <t>SAVEA</t>
  </si>
  <si>
    <t>Save-a-lot Markets</t>
  </si>
  <si>
    <t>WHITC</t>
  </si>
  <si>
    <t>White Clover Markets</t>
  </si>
  <si>
    <t>TORTU</t>
  </si>
  <si>
    <t>Tortuga Restaurante</t>
  </si>
  <si>
    <t>QUEEN</t>
  </si>
  <si>
    <t>Queen Cozinha</t>
  </si>
  <si>
    <t>DRACD</t>
  </si>
  <si>
    <t>Drachenblut Delikatessen</t>
  </si>
  <si>
    <t>LEHMS</t>
  </si>
  <si>
    <t>Lehmanns Marktstand</t>
  </si>
  <si>
    <t>PERIC</t>
  </si>
  <si>
    <t>Pericles Comidas clásicas</t>
  </si>
  <si>
    <t>ERNSH</t>
  </si>
  <si>
    <t>Ernst Handel</t>
  </si>
  <si>
    <t>LILAS</t>
  </si>
  <si>
    <t>LILA-Supermercado</t>
  </si>
  <si>
    <t>BONAP</t>
  </si>
  <si>
    <t>Bon app'</t>
  </si>
  <si>
    <t>RICSU</t>
  </si>
  <si>
    <t>Richter Supermarkt</t>
  </si>
  <si>
    <t>RATTC</t>
  </si>
  <si>
    <t>Rattlesnake Canyon Grocery</t>
  </si>
  <si>
    <t>SIMOB</t>
  </si>
  <si>
    <t>Simons bistro</t>
  </si>
  <si>
    <t>customer_id</t>
  </si>
  <si>
    <t>company_name</t>
  </si>
  <si>
    <t>customer_category</t>
  </si>
  <si>
    <t>100.80</t>
  </si>
  <si>
    <t>357.00</t>
  </si>
  <si>
    <t>3063.20</t>
  </si>
  <si>
    <t>28872.19</t>
  </si>
  <si>
    <t>4107.55</t>
  </si>
  <si>
    <t>1480.00</t>
  </si>
  <si>
    <t>1488.70</t>
  </si>
  <si>
    <t>11666.90</t>
  </si>
  <si>
    <t>522.50</t>
  </si>
  <si>
    <t>1571.20</t>
  </si>
  <si>
    <t>18534.08</t>
  </si>
  <si>
    <t>6850.66</t>
  </si>
  <si>
    <t>9182.43</t>
  </si>
  <si>
    <t>1719.10</t>
  </si>
  <si>
    <t>7023.98</t>
  </si>
  <si>
    <t>16215.33</t>
  </si>
  <si>
    <t>3076.47</t>
  </si>
  <si>
    <t>1615.90</t>
  </si>
  <si>
    <t>24927.58</t>
  </si>
  <si>
    <t>1402.95</t>
  </si>
  <si>
    <t>836.70</t>
  </si>
  <si>
    <t>6146.30</t>
  </si>
  <si>
    <t>6068.20</t>
  </si>
  <si>
    <t>5042.20</t>
  </si>
  <si>
    <t>7176.21</t>
  </si>
  <si>
    <t>6427.42</t>
  </si>
  <si>
    <t>4778.14</t>
  </si>
  <si>
    <t>4232.85</t>
  </si>
  <si>
    <t>1992.05</t>
  </si>
  <si>
    <t>3172.16</t>
  </si>
  <si>
    <t>11441.63</t>
  </si>
  <si>
    <t>3460.20</t>
  </si>
  <si>
    <t>6664.81</t>
  </si>
  <si>
    <t>3361.00</t>
  </si>
  <si>
    <t>15843.92</t>
  </si>
  <si>
    <t>1947.24</t>
  </si>
  <si>
    <t>9736.08</t>
  </si>
  <si>
    <t>3161.35</t>
  </si>
  <si>
    <t>5044.94</t>
  </si>
  <si>
    <t>26656.56</t>
  </si>
  <si>
    <t>4273.00</t>
  </si>
  <si>
    <t>1467.29</t>
  </si>
  <si>
    <t>5735.15</t>
  </si>
  <si>
    <t>13390.65</t>
  </si>
  <si>
    <t>4258.60</t>
  </si>
  <si>
    <t>2844.10</t>
  </si>
  <si>
    <t>110277.31</t>
  </si>
  <si>
    <t>12496.20</t>
  </si>
  <si>
    <t>6089.90</t>
  </si>
  <si>
    <t>15648.70</t>
  </si>
  <si>
    <t>30908.38</t>
  </si>
  <si>
    <t>15177.46</t>
  </si>
  <si>
    <t>24088.78</t>
  </si>
  <si>
    <t>11446.36</t>
  </si>
  <si>
    <t>16476.56</t>
  </si>
  <si>
    <t>3810.75</t>
  </si>
  <si>
    <t>12348.88</t>
  </si>
  <si>
    <t>2423.35</t>
  </si>
  <si>
    <t>3531.95</t>
  </si>
  <si>
    <t>9588.42</t>
  </si>
  <si>
    <t>20801.60</t>
  </si>
  <si>
    <t>8414.13</t>
  </si>
  <si>
    <t>23128.86</t>
  </si>
  <si>
    <t>9328.20</t>
  </si>
  <si>
    <t>32841.37</t>
  </si>
  <si>
    <t>29567.56</t>
  </si>
  <si>
    <t>14761.03</t>
  </si>
  <si>
    <t>22768.76</t>
  </si>
  <si>
    <t>1814.80</t>
  </si>
  <si>
    <t>3239.80</t>
  </si>
  <si>
    <t>649.00</t>
  </si>
  <si>
    <t>12450.80</t>
  </si>
  <si>
    <t>18507.45</t>
  </si>
  <si>
    <t>7048.24</t>
  </si>
  <si>
    <t>1545.70</t>
  </si>
  <si>
    <t>49979.91</t>
  </si>
  <si>
    <t>104361.95</t>
  </si>
  <si>
    <t>27363.60</t>
  </si>
  <si>
    <t>10812.15</t>
  </si>
  <si>
    <t>25717.50</t>
  </si>
  <si>
    <t>3763.21</t>
  </si>
  <si>
    <t>19261.41</t>
  </si>
  <si>
    <t>4242.20</t>
  </si>
  <si>
    <t>104874.98</t>
  </si>
  <si>
    <t>16076.60</t>
  </si>
  <si>
    <t>21963.25</t>
  </si>
  <si>
    <t>19343.78</t>
  </si>
  <si>
    <t>51097.80</t>
  </si>
  <si>
    <t>16817.10</t>
  </si>
  <si>
    <t>frequency</t>
  </si>
  <si>
    <t>monetary</t>
  </si>
  <si>
    <t>recency</t>
  </si>
  <si>
    <t>recency_score</t>
  </si>
  <si>
    <t>monetary_score</t>
  </si>
  <si>
    <t>frequency_score</t>
  </si>
  <si>
    <t>rfm_customer_score</t>
  </si>
  <si>
    <t>cohort</t>
  </si>
  <si>
    <t>month_number</t>
  </si>
  <si>
    <t>cohort_size</t>
  </si>
  <si>
    <t>month_revenue</t>
  </si>
  <si>
    <t>cumulative_revenue</t>
  </si>
  <si>
    <t>ltv</t>
  </si>
  <si>
    <t>Beverages</t>
  </si>
  <si>
    <t>Specialty Biscuits, Ltd.</t>
  </si>
  <si>
    <t>Discontinued</t>
  </si>
  <si>
    <t>Exotic Liquids</t>
  </si>
  <si>
    <t>Condiments</t>
  </si>
  <si>
    <t>OK</t>
  </si>
  <si>
    <t>New Orleans Cajun Delights</t>
  </si>
  <si>
    <t>Grandma Kelly's Homestead</t>
  </si>
  <si>
    <t>Produce</t>
  </si>
  <si>
    <t>Meat/Poultry</t>
  </si>
  <si>
    <t>Tokyo Traders</t>
  </si>
  <si>
    <t>OKIkura</t>
  </si>
  <si>
    <t>Seafood</t>
  </si>
  <si>
    <t>Dairy Products</t>
  </si>
  <si>
    <t>Cooperativa de Quesos 'Las Cabras'</t>
  </si>
  <si>
    <t>Mayumi's</t>
  </si>
  <si>
    <t>Confections</t>
  </si>
  <si>
    <t>Pavlova, Ltd.</t>
  </si>
  <si>
    <t>Grains/Cereals</t>
  </si>
  <si>
    <t>PB Knäckebröd AB</t>
  </si>
  <si>
    <t>Refrescos Americanas LTDA</t>
  </si>
  <si>
    <t>Heli Süßwaren GmbH &amp; Co. KG</t>
  </si>
  <si>
    <t>Plutzer Lebensmittelgroßmärkte AG</t>
  </si>
  <si>
    <t>Nord-Ost-Fisch Handelsgesellschaft mbH</t>
  </si>
  <si>
    <t>Reorder needed</t>
  </si>
  <si>
    <t>Formaggi Fortini s.r.l.</t>
  </si>
  <si>
    <t>Out of stock</t>
  </si>
  <si>
    <t>Norske Meierier</t>
  </si>
  <si>
    <t>Bigfoot Breweries</t>
  </si>
  <si>
    <t>Svensk Sjöföda AB</t>
  </si>
  <si>
    <t>Aux joyeux ecclésiastiques</t>
  </si>
  <si>
    <t>New England Seafood Cannery</t>
  </si>
  <si>
    <t>Leka Trading</t>
  </si>
  <si>
    <t>Lyngbysild</t>
  </si>
  <si>
    <t>Zaanse Snoepfabriek</t>
  </si>
  <si>
    <t>Karkki Oy</t>
  </si>
  <si>
    <t>G'day, Mate</t>
  </si>
  <si>
    <t>Ma Maison</t>
  </si>
  <si>
    <t>Pasta Buttini s.r.l.</t>
  </si>
  <si>
    <t>Escargots Nouveaux</t>
  </si>
  <si>
    <t>Gai pâturage</t>
  </si>
  <si>
    <t>Forêts d'érables</t>
  </si>
  <si>
    <t>category_name</t>
  </si>
  <si>
    <t>units_in_stock</t>
  </si>
  <si>
    <t>units_on_order</t>
  </si>
  <si>
    <t>reorder_level</t>
  </si>
  <si>
    <t>unit_price</t>
  </si>
  <si>
    <t>stock_value</t>
  </si>
  <si>
    <t>ordered_value</t>
  </si>
  <si>
    <t>stock_status</t>
  </si>
  <si>
    <t>products_to_reorder</t>
  </si>
  <si>
    <t>products_total</t>
  </si>
  <si>
    <t>category_stock_value</t>
  </si>
  <si>
    <t>United Package</t>
  </si>
  <si>
    <t>Speedy Express</t>
  </si>
  <si>
    <t>Federal Shipping</t>
  </si>
  <si>
    <t>shipper_id</t>
  </si>
  <si>
    <t>orders_total</t>
  </si>
  <si>
    <t>avg_freight</t>
  </si>
  <si>
    <t>total_late_orders</t>
  </si>
  <si>
    <t>transportation_costs</t>
  </si>
  <si>
    <t>late_orders_share</t>
  </si>
  <si>
    <t>Margaret Peacock</t>
  </si>
  <si>
    <t>Janet Leverling</t>
  </si>
  <si>
    <t>Nancy Davolio</t>
  </si>
  <si>
    <t>Andrew Fuller</t>
  </si>
  <si>
    <t>Laura Callahan</t>
  </si>
  <si>
    <t>Robert King</t>
  </si>
  <si>
    <t>Anne Dodsworth</t>
  </si>
  <si>
    <t>Michael Suyama</t>
  </si>
  <si>
    <t>Steven Buchanan</t>
  </si>
  <si>
    <t>employee_id</t>
  </si>
  <si>
    <t>employee</t>
  </si>
  <si>
    <t>emp_orders</t>
  </si>
  <si>
    <t>emp_revenue</t>
  </si>
  <si>
    <t>avg_check</t>
  </si>
  <si>
    <t>emp_share</t>
  </si>
  <si>
    <t>emp_rank</t>
  </si>
  <si>
    <t>Названия строк</t>
  </si>
  <si>
    <t>Общий итог</t>
  </si>
  <si>
    <t>Количество по полю customer_id</t>
  </si>
  <si>
    <t>Столбец1</t>
  </si>
  <si>
    <t>Количество по полю product_id</t>
  </si>
  <si>
    <t>Столбец2</t>
  </si>
  <si>
    <t>Столбец3</t>
  </si>
  <si>
    <t>Названия столбцов</t>
  </si>
  <si>
    <t>Сумма по полю ltv</t>
  </si>
  <si>
    <t>Сотрудник</t>
  </si>
  <si>
    <t>Средний чек</t>
  </si>
  <si>
    <t>Доля продаж</t>
  </si>
  <si>
    <t>category_id</t>
  </si>
  <si>
    <t>revenue</t>
  </si>
  <si>
    <t>revenue_share</t>
  </si>
  <si>
    <t>abc_category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</si>
</sst>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i/>
      <sz val="10"/>
      <color rgb="FF8E00C6"/>
      <name val="Consolas"/>
      <family val="3"/>
      <charset val="204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2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4" fontId="0" fillId="0" borderId="11" xfId="0" applyNumberFormat="1" applyBorder="1"/>
    <xf numFmtId="14" fontId="0" fillId="0" borderId="16" xfId="0" applyNumberFormat="1" applyBorder="1"/>
    <xf numFmtId="0" fontId="18" fillId="0" borderId="0" xfId="0" applyFont="1" applyAlignment="1">
      <alignment vertical="center"/>
    </xf>
    <xf numFmtId="0" fontId="0" fillId="33" borderId="0" xfId="0" applyFill="1"/>
    <xf numFmtId="0" fontId="0" fillId="0" borderId="10" xfId="0" applyNumberFormat="1" applyBorder="1"/>
    <xf numFmtId="0" fontId="0" fillId="0" borderId="0" xfId="0" applyNumberFormat="1"/>
    <xf numFmtId="49" fontId="0" fillId="0" borderId="0" xfId="0" applyNumberFormat="1"/>
    <xf numFmtId="0" fontId="19" fillId="0" borderId="10" xfId="0" applyFont="1" applyBorder="1" applyAlignment="1">
      <alignment vertical="center"/>
    </xf>
    <xf numFmtId="0" fontId="0" fillId="0" borderId="17" xfId="0" applyNumberFormat="1" applyBorder="1"/>
    <xf numFmtId="0" fontId="19" fillId="0" borderId="17" xfId="0" applyFont="1" applyBorder="1" applyAlignment="1">
      <alignment vertical="center"/>
    </xf>
    <xf numFmtId="10" fontId="0" fillId="0" borderId="10" xfId="42" applyNumberFormat="1" applyFont="1" applyBorder="1"/>
    <xf numFmtId="10" fontId="0" fillId="0" borderId="17" xfId="42" applyNumberFormat="1" applyFont="1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10" fontId="0" fillId="0" borderId="10" xfId="0" applyNumberFormat="1" applyBorder="1"/>
    <xf numFmtId="10" fontId="0" fillId="0" borderId="17" xfId="0" applyNumberFormat="1" applyBorder="1"/>
    <xf numFmtId="0" fontId="0" fillId="0" borderId="19" xfId="0" applyNumberFormat="1" applyFill="1" applyBorder="1"/>
    <xf numFmtId="9" fontId="0" fillId="0" borderId="0" xfId="0" applyNumberFormat="1" applyBorder="1"/>
    <xf numFmtId="0" fontId="0" fillId="0" borderId="10" xfId="0" quotePrefix="1" applyNumberFormat="1" applyBorder="1"/>
    <xf numFmtId="2" fontId="0" fillId="0" borderId="10" xfId="0" applyNumberFormat="1" applyBorder="1"/>
    <xf numFmtId="2" fontId="0" fillId="0" borderId="17" xfId="0" applyNumberFormat="1" applyBorder="1"/>
    <xf numFmtId="10" fontId="0" fillId="0" borderId="0" xfId="42" applyNumberFormat="1" applyFont="1"/>
    <xf numFmtId="0" fontId="0" fillId="35" borderId="10" xfId="0" applyFont="1" applyFill="1" applyBorder="1"/>
    <xf numFmtId="10" fontId="0" fillId="35" borderId="10" xfId="42" applyNumberFormat="1" applyFont="1" applyFill="1" applyBorder="1"/>
    <xf numFmtId="0" fontId="0" fillId="34" borderId="10" xfId="0" applyFont="1" applyFill="1" applyBorder="1"/>
    <xf numFmtId="10" fontId="0" fillId="34" borderId="10" xfId="42" applyNumberFormat="1" applyFont="1" applyFill="1" applyBorder="1"/>
    <xf numFmtId="0" fontId="16" fillId="0" borderId="10" xfId="0" applyFont="1" applyFill="1" applyBorder="1"/>
    <xf numFmtId="0" fontId="0" fillId="0" borderId="10" xfId="0" applyFont="1" applyFill="1" applyBorder="1"/>
    <xf numFmtId="10" fontId="16" fillId="0" borderId="10" xfId="42" applyNumberFormat="1" applyFont="1" applyFill="1" applyBorder="1"/>
    <xf numFmtId="0" fontId="21" fillId="36" borderId="10" xfId="0" applyFont="1" applyFill="1" applyBorder="1"/>
    <xf numFmtId="49" fontId="21" fillId="36" borderId="10" xfId="0" applyNumberFormat="1" applyFont="1" applyFill="1" applyBorder="1"/>
    <xf numFmtId="0" fontId="0" fillId="37" borderId="0" xfId="0" applyFill="1"/>
    <xf numFmtId="0" fontId="0" fillId="0" borderId="0" xfId="0" applyFill="1"/>
    <xf numFmtId="0" fontId="0" fillId="37" borderId="13" xfId="0" applyFill="1" applyBorder="1"/>
    <xf numFmtId="0" fontId="0" fillId="37" borderId="14" xfId="0" applyFill="1" applyBorder="1"/>
    <xf numFmtId="0" fontId="0" fillId="37" borderId="15" xfId="0" applyFill="1" applyBorder="1"/>
    <xf numFmtId="49" fontId="0" fillId="37" borderId="0" xfId="0" applyNumberFormat="1" applyFill="1"/>
    <xf numFmtId="0" fontId="17" fillId="37" borderId="0" xfId="0" applyNumberFormat="1" applyFont="1" applyFill="1"/>
    <xf numFmtId="49" fontId="0" fillId="37" borderId="14" xfId="0" applyNumberFormat="1" applyFill="1" applyBorder="1"/>
    <xf numFmtId="2" fontId="0" fillId="37" borderId="14" xfId="0" applyNumberFormat="1" applyFill="1" applyBorder="1"/>
    <xf numFmtId="14" fontId="0" fillId="0" borderId="10" xfId="0" applyNumberFormat="1" applyBorder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Процентный" xfId="42" builtinId="5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0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99FF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99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Прирост</a:t>
            </a:r>
            <a:r>
              <a:rPr lang="ru-RU" baseline="0"/>
              <a:t> выручки (по месяцам)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'Revenue dynamics'!$D$1</c:f>
              <c:strCache>
                <c:ptCount val="1"/>
                <c:pt idx="0">
                  <c:v>revenue_increase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40000"/>
                  <a:lumOff val="60000"/>
                </a:schemeClr>
              </a:solidFill>
              <a:ln w="9525"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numRef>
              <c:f>'Revenue dynamics'!$A$3:$A$24</c:f>
              <c:numCache>
                <c:formatCode>m/d/yyyy</c:formatCode>
                <c:ptCount val="22"/>
                <c:pt idx="0">
                  <c:v>35278</c:v>
                </c:pt>
                <c:pt idx="1">
                  <c:v>35309</c:v>
                </c:pt>
                <c:pt idx="2">
                  <c:v>35339</c:v>
                </c:pt>
                <c:pt idx="3">
                  <c:v>35370</c:v>
                </c:pt>
                <c:pt idx="4">
                  <c:v>35400</c:v>
                </c:pt>
                <c:pt idx="5">
                  <c:v>35431</c:v>
                </c:pt>
                <c:pt idx="6">
                  <c:v>35462</c:v>
                </c:pt>
                <c:pt idx="7">
                  <c:v>35490</c:v>
                </c:pt>
                <c:pt idx="8">
                  <c:v>35521</c:v>
                </c:pt>
                <c:pt idx="9">
                  <c:v>35551</c:v>
                </c:pt>
                <c:pt idx="10">
                  <c:v>35582</c:v>
                </c:pt>
                <c:pt idx="11">
                  <c:v>35612</c:v>
                </c:pt>
                <c:pt idx="12">
                  <c:v>35643</c:v>
                </c:pt>
                <c:pt idx="13">
                  <c:v>35674</c:v>
                </c:pt>
                <c:pt idx="14">
                  <c:v>35704</c:v>
                </c:pt>
                <c:pt idx="15">
                  <c:v>35735</c:v>
                </c:pt>
                <c:pt idx="16">
                  <c:v>35765</c:v>
                </c:pt>
                <c:pt idx="17">
                  <c:v>35796</c:v>
                </c:pt>
                <c:pt idx="18">
                  <c:v>35827</c:v>
                </c:pt>
                <c:pt idx="19">
                  <c:v>35855</c:v>
                </c:pt>
                <c:pt idx="20">
                  <c:v>35886</c:v>
                </c:pt>
                <c:pt idx="21">
                  <c:v>35916</c:v>
                </c:pt>
              </c:numCache>
            </c:numRef>
          </c:cat>
          <c:val>
            <c:numRef>
              <c:f>'Revenue dynamics'!$D$3:$D$24</c:f>
              <c:numCache>
                <c:formatCode>0.00%</c:formatCode>
                <c:ptCount val="22"/>
                <c:pt idx="0">
                  <c:v>-0.09</c:v>
                </c:pt>
                <c:pt idx="1">
                  <c:v>0.04</c:v>
                </c:pt>
                <c:pt idx="2">
                  <c:v>0.42</c:v>
                </c:pt>
                <c:pt idx="3">
                  <c:v>0.22</c:v>
                </c:pt>
                <c:pt idx="4">
                  <c:v>-0.01</c:v>
                </c:pt>
                <c:pt idx="5">
                  <c:v>0.35</c:v>
                </c:pt>
                <c:pt idx="6">
                  <c:v>-0.37</c:v>
                </c:pt>
                <c:pt idx="7">
                  <c:v>0</c:v>
                </c:pt>
                <c:pt idx="8">
                  <c:v>0.38</c:v>
                </c:pt>
                <c:pt idx="9">
                  <c:v>0.01</c:v>
                </c:pt>
                <c:pt idx="10">
                  <c:v>-0.32</c:v>
                </c:pt>
                <c:pt idx="11">
                  <c:v>0.4</c:v>
                </c:pt>
                <c:pt idx="12">
                  <c:v>-7.0000000000000007E-2</c:v>
                </c:pt>
                <c:pt idx="13">
                  <c:v>0.18</c:v>
                </c:pt>
                <c:pt idx="14">
                  <c:v>0.2</c:v>
                </c:pt>
                <c:pt idx="15">
                  <c:v>-0.35</c:v>
                </c:pt>
                <c:pt idx="16">
                  <c:v>0.64</c:v>
                </c:pt>
                <c:pt idx="17">
                  <c:v>0.32</c:v>
                </c:pt>
                <c:pt idx="18">
                  <c:v>0.06</c:v>
                </c:pt>
                <c:pt idx="19">
                  <c:v>0.05</c:v>
                </c:pt>
                <c:pt idx="20">
                  <c:v>0.18</c:v>
                </c:pt>
                <c:pt idx="21">
                  <c:v>-0.85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69-41E5-AD62-F71155CCE62B}"/>
            </c:ext>
          </c:extLst>
        </c:ser>
        <c:ser>
          <c:idx val="2"/>
          <c:order val="2"/>
          <c:tx>
            <c:v>0</c:v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'Revenue dynamics'!$A$3:$A$24</c:f>
              <c:numCache>
                <c:formatCode>m/d/yyyy</c:formatCode>
                <c:ptCount val="22"/>
                <c:pt idx="0">
                  <c:v>35278</c:v>
                </c:pt>
                <c:pt idx="1">
                  <c:v>35309</c:v>
                </c:pt>
                <c:pt idx="2">
                  <c:v>35339</c:v>
                </c:pt>
                <c:pt idx="3">
                  <c:v>35370</c:v>
                </c:pt>
                <c:pt idx="4">
                  <c:v>35400</c:v>
                </c:pt>
                <c:pt idx="5">
                  <c:v>35431</c:v>
                </c:pt>
                <c:pt idx="6">
                  <c:v>35462</c:v>
                </c:pt>
                <c:pt idx="7">
                  <c:v>35490</c:v>
                </c:pt>
                <c:pt idx="8">
                  <c:v>35521</c:v>
                </c:pt>
                <c:pt idx="9">
                  <c:v>35551</c:v>
                </c:pt>
                <c:pt idx="10">
                  <c:v>35582</c:v>
                </c:pt>
                <c:pt idx="11">
                  <c:v>35612</c:v>
                </c:pt>
                <c:pt idx="12">
                  <c:v>35643</c:v>
                </c:pt>
                <c:pt idx="13">
                  <c:v>35674</c:v>
                </c:pt>
                <c:pt idx="14">
                  <c:v>35704</c:v>
                </c:pt>
                <c:pt idx="15">
                  <c:v>35735</c:v>
                </c:pt>
                <c:pt idx="16">
                  <c:v>35765</c:v>
                </c:pt>
                <c:pt idx="17">
                  <c:v>35796</c:v>
                </c:pt>
                <c:pt idx="18">
                  <c:v>35827</c:v>
                </c:pt>
                <c:pt idx="19">
                  <c:v>35855</c:v>
                </c:pt>
                <c:pt idx="20">
                  <c:v>35886</c:v>
                </c:pt>
                <c:pt idx="21">
                  <c:v>35916</c:v>
                </c:pt>
              </c:numCache>
            </c:numRef>
          </c:cat>
          <c:val>
            <c:numRef>
              <c:f>'Revenue dynamics'!$E$3:$E$24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69-41E5-AD62-F71155CCE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2183119"/>
        <c:axId val="1932184783"/>
      </c:lineChart>
      <c:lineChart>
        <c:grouping val="standard"/>
        <c:varyColors val="0"/>
        <c:ser>
          <c:idx val="0"/>
          <c:order val="0"/>
          <c:tx>
            <c:strRef>
              <c:f>'Revenue dynamics'!$B$1</c:f>
              <c:strCache>
                <c:ptCount val="1"/>
                <c:pt idx="0">
                  <c:v>total_monthly_revenue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'Revenue dynamics'!$A$2:$A$24</c:f>
              <c:numCache>
                <c:formatCode>m/d/yyyy</c:formatCode>
                <c:ptCount val="23"/>
                <c:pt idx="0">
                  <c:v>35247</c:v>
                </c:pt>
                <c:pt idx="1">
                  <c:v>35278</c:v>
                </c:pt>
                <c:pt idx="2">
                  <c:v>35309</c:v>
                </c:pt>
                <c:pt idx="3">
                  <c:v>35339</c:v>
                </c:pt>
                <c:pt idx="4">
                  <c:v>35370</c:v>
                </c:pt>
                <c:pt idx="5">
                  <c:v>35400</c:v>
                </c:pt>
                <c:pt idx="6">
                  <c:v>35431</c:v>
                </c:pt>
                <c:pt idx="7">
                  <c:v>35462</c:v>
                </c:pt>
                <c:pt idx="8">
                  <c:v>35490</c:v>
                </c:pt>
                <c:pt idx="9">
                  <c:v>35521</c:v>
                </c:pt>
                <c:pt idx="10">
                  <c:v>35551</c:v>
                </c:pt>
                <c:pt idx="11">
                  <c:v>35582</c:v>
                </c:pt>
                <c:pt idx="12">
                  <c:v>35612</c:v>
                </c:pt>
                <c:pt idx="13">
                  <c:v>35643</c:v>
                </c:pt>
                <c:pt idx="14">
                  <c:v>35674</c:v>
                </c:pt>
                <c:pt idx="15">
                  <c:v>35704</c:v>
                </c:pt>
                <c:pt idx="16">
                  <c:v>35735</c:v>
                </c:pt>
                <c:pt idx="17">
                  <c:v>35765</c:v>
                </c:pt>
                <c:pt idx="18">
                  <c:v>35796</c:v>
                </c:pt>
                <c:pt idx="19">
                  <c:v>35827</c:v>
                </c:pt>
                <c:pt idx="20">
                  <c:v>35855</c:v>
                </c:pt>
                <c:pt idx="21">
                  <c:v>35886</c:v>
                </c:pt>
                <c:pt idx="22">
                  <c:v>35916</c:v>
                </c:pt>
              </c:numCache>
            </c:numRef>
          </c:cat>
          <c:val>
            <c:numRef>
              <c:f>'Revenue dynamics'!$B$3:$B$24</c:f>
              <c:numCache>
                <c:formatCode>General</c:formatCode>
                <c:ptCount val="22"/>
                <c:pt idx="0">
                  <c:v>25485.27</c:v>
                </c:pt>
                <c:pt idx="1">
                  <c:v>26381.4</c:v>
                </c:pt>
                <c:pt idx="2">
                  <c:v>37515.72</c:v>
                </c:pt>
                <c:pt idx="3">
                  <c:v>45600.04</c:v>
                </c:pt>
                <c:pt idx="4">
                  <c:v>45239.63</c:v>
                </c:pt>
                <c:pt idx="5">
                  <c:v>61258.06</c:v>
                </c:pt>
                <c:pt idx="6">
                  <c:v>38483.629999999997</c:v>
                </c:pt>
                <c:pt idx="7">
                  <c:v>38547.21</c:v>
                </c:pt>
                <c:pt idx="8">
                  <c:v>53032.95</c:v>
                </c:pt>
                <c:pt idx="9">
                  <c:v>53781.29</c:v>
                </c:pt>
                <c:pt idx="10">
                  <c:v>36362.79</c:v>
                </c:pt>
                <c:pt idx="11">
                  <c:v>51020.84</c:v>
                </c:pt>
                <c:pt idx="12">
                  <c:v>47287.67</c:v>
                </c:pt>
                <c:pt idx="13">
                  <c:v>55629.23</c:v>
                </c:pt>
                <c:pt idx="14">
                  <c:v>66749.240000000005</c:v>
                </c:pt>
                <c:pt idx="15">
                  <c:v>43533.79</c:v>
                </c:pt>
                <c:pt idx="16">
                  <c:v>71398.41</c:v>
                </c:pt>
                <c:pt idx="17">
                  <c:v>94222.12</c:v>
                </c:pt>
                <c:pt idx="18">
                  <c:v>99415.29</c:v>
                </c:pt>
                <c:pt idx="19">
                  <c:v>104854.15</c:v>
                </c:pt>
                <c:pt idx="20">
                  <c:v>123798.69</c:v>
                </c:pt>
                <c:pt idx="21">
                  <c:v>18333.64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69-41E5-AD62-F71155CCE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4771359"/>
        <c:axId val="2114765951"/>
      </c:lineChart>
      <c:dateAx>
        <c:axId val="19321831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2184783"/>
        <c:crosses val="autoZero"/>
        <c:auto val="1"/>
        <c:lblOffset val="100"/>
        <c:baseTimeUnit val="months"/>
      </c:dateAx>
      <c:valAx>
        <c:axId val="193218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2183119"/>
        <c:crosses val="autoZero"/>
        <c:crossBetween val="between"/>
      </c:valAx>
      <c:valAx>
        <c:axId val="21147659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4771359"/>
        <c:crosses val="max"/>
        <c:crossBetween val="between"/>
      </c:valAx>
      <c:dateAx>
        <c:axId val="211477135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114765951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ABC-</a:t>
            </a:r>
            <a:r>
              <a:rPr lang="ru-RU"/>
              <a:t>анализ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Накопленная доля</c:v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accent1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'ABC-analysis'!$B$2:$B$78</c:f>
              <c:strCache>
                <c:ptCount val="77"/>
                <c:pt idx="0">
                  <c:v>Côte de Blaye</c:v>
                </c:pt>
                <c:pt idx="1">
                  <c:v>Thüringer Rostbratwurst</c:v>
                </c:pt>
                <c:pt idx="2">
                  <c:v>Raclette Courdavault</c:v>
                </c:pt>
                <c:pt idx="3">
                  <c:v>Tarte au sucre</c:v>
                </c:pt>
                <c:pt idx="4">
                  <c:v>Camembert Pierrot</c:v>
                </c:pt>
                <c:pt idx="5">
                  <c:v>Gnocchi di nonna Alice</c:v>
                </c:pt>
                <c:pt idx="6">
                  <c:v>Manjimup Dried Apples</c:v>
                </c:pt>
                <c:pt idx="7">
                  <c:v>Alice Mutton</c:v>
                </c:pt>
                <c:pt idx="8">
                  <c:v>Carnarvon Tigers</c:v>
                </c:pt>
                <c:pt idx="9">
                  <c:v>Rössle Sauerkraut</c:v>
                </c:pt>
                <c:pt idx="10">
                  <c:v>Mozzarella di Giovanni</c:v>
                </c:pt>
                <c:pt idx="11">
                  <c:v>Ipoh Coffee</c:v>
                </c:pt>
                <c:pt idx="12">
                  <c:v>Sir Rodney's Marmalade</c:v>
                </c:pt>
                <c:pt idx="13">
                  <c:v>Uncle Bob's Organic Dried Pears</c:v>
                </c:pt>
                <c:pt idx="14">
                  <c:v>Wimmers gute Semmelknödel</c:v>
                </c:pt>
                <c:pt idx="15">
                  <c:v>Gudbrandsdalsost</c:v>
                </c:pt>
                <c:pt idx="16">
                  <c:v>Ikura</c:v>
                </c:pt>
                <c:pt idx="17">
                  <c:v>Perth Pasties</c:v>
                </c:pt>
                <c:pt idx="18">
                  <c:v>Gumbär Gummibärchen</c:v>
                </c:pt>
                <c:pt idx="19">
                  <c:v>Flotemysost</c:v>
                </c:pt>
                <c:pt idx="20">
                  <c:v>Boston Crab Meat</c:v>
                </c:pt>
                <c:pt idx="21">
                  <c:v>Pâté chinois</c:v>
                </c:pt>
                <c:pt idx="22">
                  <c:v>Pavlova</c:v>
                </c:pt>
                <c:pt idx="23">
                  <c:v>Vegie-spread</c:v>
                </c:pt>
                <c:pt idx="24">
                  <c:v>Chang</c:v>
                </c:pt>
                <c:pt idx="25">
                  <c:v>Lakkalikööri</c:v>
                </c:pt>
                <c:pt idx="26">
                  <c:v>Schoggi Schokolade</c:v>
                </c:pt>
                <c:pt idx="27">
                  <c:v>Gorgonzola Telino</c:v>
                </c:pt>
                <c:pt idx="28">
                  <c:v>Sirop d'érable</c:v>
                </c:pt>
                <c:pt idx="29">
                  <c:v>Louisiana Fiery Hot Pepper Sauce</c:v>
                </c:pt>
                <c:pt idx="30">
                  <c:v>Steeleye Stout</c:v>
                </c:pt>
                <c:pt idx="31">
                  <c:v>Inlagd Sill</c:v>
                </c:pt>
                <c:pt idx="32">
                  <c:v>Nord-Ost Matjeshering</c:v>
                </c:pt>
                <c:pt idx="33">
                  <c:v>Queso Cabrales</c:v>
                </c:pt>
                <c:pt idx="34">
                  <c:v>Chai</c:v>
                </c:pt>
                <c:pt idx="35">
                  <c:v>Northwoods Cranberry Sauce</c:v>
                </c:pt>
                <c:pt idx="36">
                  <c:v>Chartreuse verte</c:v>
                </c:pt>
                <c:pt idx="37">
                  <c:v>Queso Manchego La Pastora</c:v>
                </c:pt>
                <c:pt idx="38">
                  <c:v>Outback Lager</c:v>
                </c:pt>
                <c:pt idx="39">
                  <c:v>Gula Malacca</c:v>
                </c:pt>
                <c:pt idx="40">
                  <c:v>Maxilaku</c:v>
                </c:pt>
                <c:pt idx="41">
                  <c:v>Original Frankfurter grüne Soße</c:v>
                </c:pt>
                <c:pt idx="42">
                  <c:v>Sir Rodney's Scones</c:v>
                </c:pt>
                <c:pt idx="43">
                  <c:v>Scottish Longbreads</c:v>
                </c:pt>
                <c:pt idx="44">
                  <c:v>Jack's New England Clam Chowder</c:v>
                </c:pt>
                <c:pt idx="45">
                  <c:v>Singaporean Hokkien Fried Mee</c:v>
                </c:pt>
                <c:pt idx="46">
                  <c:v>Chef Anton's Cajun Seasoning</c:v>
                </c:pt>
                <c:pt idx="47">
                  <c:v>Mascarpone Fabioli</c:v>
                </c:pt>
                <c:pt idx="48">
                  <c:v>Rhönbräu Klosterbier</c:v>
                </c:pt>
                <c:pt idx="49">
                  <c:v>Tofu</c:v>
                </c:pt>
                <c:pt idx="50">
                  <c:v>Ravioli Angelo</c:v>
                </c:pt>
                <c:pt idx="51">
                  <c:v>Mishi Kobe Niku</c:v>
                </c:pt>
                <c:pt idx="52">
                  <c:v>Grandma's Boysenberry Spread</c:v>
                </c:pt>
                <c:pt idx="53">
                  <c:v>Gustaf's Knäckebröd</c:v>
                </c:pt>
                <c:pt idx="54">
                  <c:v>Sasquatch Ale</c:v>
                </c:pt>
                <c:pt idx="55">
                  <c:v>Spegesild</c:v>
                </c:pt>
                <c:pt idx="56">
                  <c:v>Escargots de Bourgogne</c:v>
                </c:pt>
                <c:pt idx="57">
                  <c:v>Teatime Chocolate Biscuits</c:v>
                </c:pt>
                <c:pt idx="58">
                  <c:v>Chef Anton's Gumbo Mix</c:v>
                </c:pt>
                <c:pt idx="59">
                  <c:v>Konbu</c:v>
                </c:pt>
                <c:pt idx="60">
                  <c:v>Tourtière</c:v>
                </c:pt>
                <c:pt idx="61">
                  <c:v>Tunnbröd</c:v>
                </c:pt>
                <c:pt idx="62">
                  <c:v>Guaraná Fantástica</c:v>
                </c:pt>
                <c:pt idx="63">
                  <c:v>Rogede sild</c:v>
                </c:pt>
                <c:pt idx="64">
                  <c:v>Röd Kaviar</c:v>
                </c:pt>
                <c:pt idx="65">
                  <c:v>Zaanse koeken</c:v>
                </c:pt>
                <c:pt idx="66">
                  <c:v>NuNuCa Nuß-Nougat-Creme</c:v>
                </c:pt>
                <c:pt idx="67">
                  <c:v>Valkoinen suklaa</c:v>
                </c:pt>
                <c:pt idx="68">
                  <c:v>Louisiana Hot Spiced Okra</c:v>
                </c:pt>
                <c:pt idx="69">
                  <c:v>Filo Mix</c:v>
                </c:pt>
                <c:pt idx="70">
                  <c:v>Aniseed Syrup</c:v>
                </c:pt>
                <c:pt idx="71">
                  <c:v>Gravad lax</c:v>
                </c:pt>
                <c:pt idx="72">
                  <c:v>Longlife Tofu</c:v>
                </c:pt>
                <c:pt idx="73">
                  <c:v>Laughing Lumberjack Lager</c:v>
                </c:pt>
                <c:pt idx="74">
                  <c:v>Genen Shouyu</c:v>
                </c:pt>
                <c:pt idx="75">
                  <c:v>Geitost</c:v>
                </c:pt>
                <c:pt idx="76">
                  <c:v>Chocolade</c:v>
                </c:pt>
              </c:strCache>
            </c:strRef>
          </c:cat>
          <c:val>
            <c:numRef>
              <c:f>'ABC-analysis'!$C$2:$C$78</c:f>
              <c:numCache>
                <c:formatCode>0.00%</c:formatCode>
                <c:ptCount val="77"/>
                <c:pt idx="0">
                  <c:v>0.11169999999999999</c:v>
                </c:pt>
                <c:pt idx="1">
                  <c:v>0.17519999999999999</c:v>
                </c:pt>
                <c:pt idx="2">
                  <c:v>0.23139999999999999</c:v>
                </c:pt>
                <c:pt idx="3">
                  <c:v>0.26869999999999999</c:v>
                </c:pt>
                <c:pt idx="4">
                  <c:v>0.30570000000000003</c:v>
                </c:pt>
                <c:pt idx="5">
                  <c:v>0.33929999999999999</c:v>
                </c:pt>
                <c:pt idx="6">
                  <c:v>0.37229999999999996</c:v>
                </c:pt>
                <c:pt idx="7">
                  <c:v>0.39810000000000001</c:v>
                </c:pt>
                <c:pt idx="8">
                  <c:v>0.42109999999999997</c:v>
                </c:pt>
                <c:pt idx="9">
                  <c:v>0.44140000000000001</c:v>
                </c:pt>
                <c:pt idx="10">
                  <c:v>0.46110000000000001</c:v>
                </c:pt>
                <c:pt idx="11">
                  <c:v>0.47970000000000002</c:v>
                </c:pt>
                <c:pt idx="12">
                  <c:v>0.4975</c:v>
                </c:pt>
                <c:pt idx="13">
                  <c:v>0.51490000000000002</c:v>
                </c:pt>
                <c:pt idx="14">
                  <c:v>0.53220000000000001</c:v>
                </c:pt>
                <c:pt idx="15">
                  <c:v>0.54949999999999999</c:v>
                </c:pt>
                <c:pt idx="16">
                  <c:v>0.56600000000000006</c:v>
                </c:pt>
                <c:pt idx="17">
                  <c:v>0.58229999999999993</c:v>
                </c:pt>
                <c:pt idx="18">
                  <c:v>0.59799999999999998</c:v>
                </c:pt>
                <c:pt idx="19">
                  <c:v>0.61340000000000006</c:v>
                </c:pt>
                <c:pt idx="20">
                  <c:v>0.62749999999999995</c:v>
                </c:pt>
                <c:pt idx="21">
                  <c:v>0.64129999999999998</c:v>
                </c:pt>
                <c:pt idx="22">
                  <c:v>0.65489999999999993</c:v>
                </c:pt>
                <c:pt idx="23">
                  <c:v>0.66810000000000003</c:v>
                </c:pt>
                <c:pt idx="24">
                  <c:v>0.68099999999999994</c:v>
                </c:pt>
                <c:pt idx="25">
                  <c:v>0.69349999999999989</c:v>
                </c:pt>
                <c:pt idx="26">
                  <c:v>0.70540000000000003</c:v>
                </c:pt>
                <c:pt idx="27">
                  <c:v>0.71719999999999995</c:v>
                </c:pt>
                <c:pt idx="28">
                  <c:v>0.72849999999999993</c:v>
                </c:pt>
                <c:pt idx="29">
                  <c:v>0.73950000000000005</c:v>
                </c:pt>
                <c:pt idx="30">
                  <c:v>0.75029999999999997</c:v>
                </c:pt>
                <c:pt idx="31">
                  <c:v>0.76090000000000002</c:v>
                </c:pt>
                <c:pt idx="32">
                  <c:v>0.77150000000000007</c:v>
                </c:pt>
                <c:pt idx="33">
                  <c:v>0.78170000000000006</c:v>
                </c:pt>
                <c:pt idx="34">
                  <c:v>0.79180000000000006</c:v>
                </c:pt>
                <c:pt idx="35">
                  <c:v>0.80189999999999995</c:v>
                </c:pt>
                <c:pt idx="36">
                  <c:v>0.81159999999999999</c:v>
                </c:pt>
                <c:pt idx="37">
                  <c:v>0.82129999999999992</c:v>
                </c:pt>
                <c:pt idx="38">
                  <c:v>0.82969999999999999</c:v>
                </c:pt>
                <c:pt idx="39">
                  <c:v>0.83750000000000002</c:v>
                </c:pt>
                <c:pt idx="40">
                  <c:v>0.8448</c:v>
                </c:pt>
                <c:pt idx="41">
                  <c:v>0.85199999999999998</c:v>
                </c:pt>
                <c:pt idx="42">
                  <c:v>0.85919999999999996</c:v>
                </c:pt>
                <c:pt idx="43">
                  <c:v>0.86609999999999998</c:v>
                </c:pt>
                <c:pt idx="44">
                  <c:v>0.873</c:v>
                </c:pt>
                <c:pt idx="45">
                  <c:v>0.87980000000000003</c:v>
                </c:pt>
                <c:pt idx="46">
                  <c:v>0.88659999999999994</c:v>
                </c:pt>
                <c:pt idx="47">
                  <c:v>0.89319999999999988</c:v>
                </c:pt>
                <c:pt idx="48">
                  <c:v>0.89969999999999994</c:v>
                </c:pt>
                <c:pt idx="49">
                  <c:v>0.90599999999999992</c:v>
                </c:pt>
                <c:pt idx="50">
                  <c:v>0.91209999999999991</c:v>
                </c:pt>
                <c:pt idx="51">
                  <c:v>0.91780000000000006</c:v>
                </c:pt>
                <c:pt idx="52">
                  <c:v>0.9234</c:v>
                </c:pt>
                <c:pt idx="53">
                  <c:v>0.92900000000000005</c:v>
                </c:pt>
                <c:pt idx="54">
                  <c:v>0.93400000000000005</c:v>
                </c:pt>
                <c:pt idx="55">
                  <c:v>0.93859999999999999</c:v>
                </c:pt>
                <c:pt idx="56">
                  <c:v>0.94319999999999993</c:v>
                </c:pt>
                <c:pt idx="57">
                  <c:v>0.94779999999999998</c:v>
                </c:pt>
                <c:pt idx="58">
                  <c:v>0.95200000000000007</c:v>
                </c:pt>
                <c:pt idx="59">
                  <c:v>0.95590000000000008</c:v>
                </c:pt>
                <c:pt idx="60">
                  <c:v>0.9595999999999999</c:v>
                </c:pt>
                <c:pt idx="61">
                  <c:v>0.96319999999999995</c:v>
                </c:pt>
                <c:pt idx="62">
                  <c:v>0.9668000000000001</c:v>
                </c:pt>
                <c:pt idx="63">
                  <c:v>0.97019999999999995</c:v>
                </c:pt>
                <c:pt idx="64">
                  <c:v>0.97340000000000004</c:v>
                </c:pt>
                <c:pt idx="65">
                  <c:v>0.97650000000000003</c:v>
                </c:pt>
                <c:pt idx="66">
                  <c:v>0.97939999999999994</c:v>
                </c:pt>
                <c:pt idx="67">
                  <c:v>0.98209999999999997</c:v>
                </c:pt>
                <c:pt idx="68">
                  <c:v>0.98480000000000001</c:v>
                </c:pt>
                <c:pt idx="69">
                  <c:v>0.98739999999999994</c:v>
                </c:pt>
                <c:pt idx="70">
                  <c:v>0.98980000000000001</c:v>
                </c:pt>
                <c:pt idx="71">
                  <c:v>0.9919</c:v>
                </c:pt>
                <c:pt idx="72">
                  <c:v>0.99379999999999991</c:v>
                </c:pt>
                <c:pt idx="73">
                  <c:v>0.99569999999999992</c:v>
                </c:pt>
                <c:pt idx="74">
                  <c:v>0.99709999999999999</c:v>
                </c:pt>
                <c:pt idx="75">
                  <c:v>0.99840000000000007</c:v>
                </c:pt>
                <c:pt idx="76">
                  <c:v>0.99950000000000006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8-431B-9A7A-2A37BFC2C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3146943"/>
        <c:axId val="2113142783"/>
      </c:barChart>
      <c:lineChart>
        <c:grouping val="standard"/>
        <c:varyColors val="0"/>
        <c:ser>
          <c:idx val="2"/>
          <c:order val="2"/>
          <c:tx>
            <c:v>A</c:v>
          </c:tx>
          <c:spPr>
            <a:ln w="2857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'ABC-analysis'!$G$2:$G$78</c:f>
              <c:numCache>
                <c:formatCode>0%</c:formatCode>
                <c:ptCount val="7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</c:v>
                </c:pt>
                <c:pt idx="72">
                  <c:v>0.8</c:v>
                </c:pt>
                <c:pt idx="73">
                  <c:v>0.8</c:v>
                </c:pt>
                <c:pt idx="74">
                  <c:v>0.8</c:v>
                </c:pt>
                <c:pt idx="75">
                  <c:v>0.8</c:v>
                </c:pt>
                <c:pt idx="7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F8-431B-9A7A-2A37BFC2C86D}"/>
            </c:ext>
          </c:extLst>
        </c:ser>
        <c:ser>
          <c:idx val="3"/>
          <c:order val="3"/>
          <c:tx>
            <c:v>B</c:v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'ABC-analysis'!$H$2:$H$78</c:f>
              <c:numCache>
                <c:formatCode>0%</c:formatCode>
                <c:ptCount val="77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</c:v>
                </c:pt>
                <c:pt idx="32">
                  <c:v>0.95</c:v>
                </c:pt>
                <c:pt idx="33">
                  <c:v>0.95</c:v>
                </c:pt>
                <c:pt idx="34">
                  <c:v>0.95</c:v>
                </c:pt>
                <c:pt idx="35">
                  <c:v>0.95</c:v>
                </c:pt>
                <c:pt idx="36">
                  <c:v>0.95</c:v>
                </c:pt>
                <c:pt idx="37">
                  <c:v>0.95</c:v>
                </c:pt>
                <c:pt idx="38">
                  <c:v>0.95</c:v>
                </c:pt>
                <c:pt idx="39">
                  <c:v>0.95</c:v>
                </c:pt>
                <c:pt idx="40">
                  <c:v>0.95</c:v>
                </c:pt>
                <c:pt idx="41">
                  <c:v>0.95</c:v>
                </c:pt>
                <c:pt idx="42">
                  <c:v>0.95</c:v>
                </c:pt>
                <c:pt idx="43">
                  <c:v>0.95</c:v>
                </c:pt>
                <c:pt idx="44">
                  <c:v>0.95</c:v>
                </c:pt>
                <c:pt idx="45">
                  <c:v>0.95</c:v>
                </c:pt>
                <c:pt idx="46">
                  <c:v>0.95</c:v>
                </c:pt>
                <c:pt idx="47">
                  <c:v>0.95</c:v>
                </c:pt>
                <c:pt idx="48">
                  <c:v>0.95</c:v>
                </c:pt>
                <c:pt idx="49">
                  <c:v>0.95</c:v>
                </c:pt>
                <c:pt idx="50">
                  <c:v>0.95</c:v>
                </c:pt>
                <c:pt idx="51">
                  <c:v>0.95</c:v>
                </c:pt>
                <c:pt idx="52">
                  <c:v>0.95</c:v>
                </c:pt>
                <c:pt idx="53">
                  <c:v>0.95</c:v>
                </c:pt>
                <c:pt idx="54">
                  <c:v>0.95</c:v>
                </c:pt>
                <c:pt idx="55">
                  <c:v>0.95</c:v>
                </c:pt>
                <c:pt idx="56">
                  <c:v>0.95</c:v>
                </c:pt>
                <c:pt idx="57">
                  <c:v>0.95</c:v>
                </c:pt>
                <c:pt idx="58">
                  <c:v>0.95</c:v>
                </c:pt>
                <c:pt idx="59">
                  <c:v>0.95</c:v>
                </c:pt>
                <c:pt idx="60">
                  <c:v>0.95</c:v>
                </c:pt>
                <c:pt idx="61">
                  <c:v>0.95</c:v>
                </c:pt>
                <c:pt idx="62">
                  <c:v>0.95</c:v>
                </c:pt>
                <c:pt idx="63">
                  <c:v>0.95</c:v>
                </c:pt>
                <c:pt idx="64">
                  <c:v>0.95</c:v>
                </c:pt>
                <c:pt idx="65">
                  <c:v>0.95</c:v>
                </c:pt>
                <c:pt idx="66">
                  <c:v>0.95</c:v>
                </c:pt>
                <c:pt idx="67">
                  <c:v>0.95</c:v>
                </c:pt>
                <c:pt idx="68">
                  <c:v>0.95</c:v>
                </c:pt>
                <c:pt idx="69">
                  <c:v>0.95</c:v>
                </c:pt>
                <c:pt idx="70">
                  <c:v>0.95</c:v>
                </c:pt>
                <c:pt idx="71">
                  <c:v>0.95</c:v>
                </c:pt>
                <c:pt idx="72">
                  <c:v>0.95</c:v>
                </c:pt>
                <c:pt idx="73">
                  <c:v>0.95</c:v>
                </c:pt>
                <c:pt idx="74">
                  <c:v>0.95</c:v>
                </c:pt>
                <c:pt idx="75">
                  <c:v>0.95</c:v>
                </c:pt>
                <c:pt idx="76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8F8-431B-9A7A-2A37BFC2C86D}"/>
            </c:ext>
          </c:extLst>
        </c:ser>
        <c:ser>
          <c:idx val="4"/>
          <c:order val="4"/>
          <c:tx>
            <c:v>C</c:v>
          </c:tx>
          <c:spPr>
            <a:ln w="28575" cap="rnd">
              <a:solidFill>
                <a:schemeClr val="tx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'ABC-analysis'!$B$2:$B$78</c:f>
              <c:strCache>
                <c:ptCount val="77"/>
                <c:pt idx="0">
                  <c:v>Côte de Blaye</c:v>
                </c:pt>
                <c:pt idx="1">
                  <c:v>Thüringer Rostbratwurst</c:v>
                </c:pt>
                <c:pt idx="2">
                  <c:v>Raclette Courdavault</c:v>
                </c:pt>
                <c:pt idx="3">
                  <c:v>Tarte au sucre</c:v>
                </c:pt>
                <c:pt idx="4">
                  <c:v>Camembert Pierrot</c:v>
                </c:pt>
                <c:pt idx="5">
                  <c:v>Gnocchi di nonna Alice</c:v>
                </c:pt>
                <c:pt idx="6">
                  <c:v>Manjimup Dried Apples</c:v>
                </c:pt>
                <c:pt idx="7">
                  <c:v>Alice Mutton</c:v>
                </c:pt>
                <c:pt idx="8">
                  <c:v>Carnarvon Tigers</c:v>
                </c:pt>
                <c:pt idx="9">
                  <c:v>Rössle Sauerkraut</c:v>
                </c:pt>
                <c:pt idx="10">
                  <c:v>Mozzarella di Giovanni</c:v>
                </c:pt>
                <c:pt idx="11">
                  <c:v>Ipoh Coffee</c:v>
                </c:pt>
                <c:pt idx="12">
                  <c:v>Sir Rodney's Marmalade</c:v>
                </c:pt>
                <c:pt idx="13">
                  <c:v>Uncle Bob's Organic Dried Pears</c:v>
                </c:pt>
                <c:pt idx="14">
                  <c:v>Wimmers gute Semmelknödel</c:v>
                </c:pt>
                <c:pt idx="15">
                  <c:v>Gudbrandsdalsost</c:v>
                </c:pt>
                <c:pt idx="16">
                  <c:v>Ikura</c:v>
                </c:pt>
                <c:pt idx="17">
                  <c:v>Perth Pasties</c:v>
                </c:pt>
                <c:pt idx="18">
                  <c:v>Gumbär Gummibärchen</c:v>
                </c:pt>
                <c:pt idx="19">
                  <c:v>Flotemysost</c:v>
                </c:pt>
                <c:pt idx="20">
                  <c:v>Boston Crab Meat</c:v>
                </c:pt>
                <c:pt idx="21">
                  <c:v>Pâté chinois</c:v>
                </c:pt>
                <c:pt idx="22">
                  <c:v>Pavlova</c:v>
                </c:pt>
                <c:pt idx="23">
                  <c:v>Vegie-spread</c:v>
                </c:pt>
                <c:pt idx="24">
                  <c:v>Chang</c:v>
                </c:pt>
                <c:pt idx="25">
                  <c:v>Lakkalikööri</c:v>
                </c:pt>
                <c:pt idx="26">
                  <c:v>Schoggi Schokolade</c:v>
                </c:pt>
                <c:pt idx="27">
                  <c:v>Gorgonzola Telino</c:v>
                </c:pt>
                <c:pt idx="28">
                  <c:v>Sirop d'érable</c:v>
                </c:pt>
                <c:pt idx="29">
                  <c:v>Louisiana Fiery Hot Pepper Sauce</c:v>
                </c:pt>
                <c:pt idx="30">
                  <c:v>Steeleye Stout</c:v>
                </c:pt>
                <c:pt idx="31">
                  <c:v>Inlagd Sill</c:v>
                </c:pt>
                <c:pt idx="32">
                  <c:v>Nord-Ost Matjeshering</c:v>
                </c:pt>
                <c:pt idx="33">
                  <c:v>Queso Cabrales</c:v>
                </c:pt>
                <c:pt idx="34">
                  <c:v>Chai</c:v>
                </c:pt>
                <c:pt idx="35">
                  <c:v>Northwoods Cranberry Sauce</c:v>
                </c:pt>
                <c:pt idx="36">
                  <c:v>Chartreuse verte</c:v>
                </c:pt>
                <c:pt idx="37">
                  <c:v>Queso Manchego La Pastora</c:v>
                </c:pt>
                <c:pt idx="38">
                  <c:v>Outback Lager</c:v>
                </c:pt>
                <c:pt idx="39">
                  <c:v>Gula Malacca</c:v>
                </c:pt>
                <c:pt idx="40">
                  <c:v>Maxilaku</c:v>
                </c:pt>
                <c:pt idx="41">
                  <c:v>Original Frankfurter grüne Soße</c:v>
                </c:pt>
                <c:pt idx="42">
                  <c:v>Sir Rodney's Scones</c:v>
                </c:pt>
                <c:pt idx="43">
                  <c:v>Scottish Longbreads</c:v>
                </c:pt>
                <c:pt idx="44">
                  <c:v>Jack's New England Clam Chowder</c:v>
                </c:pt>
                <c:pt idx="45">
                  <c:v>Singaporean Hokkien Fried Mee</c:v>
                </c:pt>
                <c:pt idx="46">
                  <c:v>Chef Anton's Cajun Seasoning</c:v>
                </c:pt>
                <c:pt idx="47">
                  <c:v>Mascarpone Fabioli</c:v>
                </c:pt>
                <c:pt idx="48">
                  <c:v>Rhönbräu Klosterbier</c:v>
                </c:pt>
                <c:pt idx="49">
                  <c:v>Tofu</c:v>
                </c:pt>
                <c:pt idx="50">
                  <c:v>Ravioli Angelo</c:v>
                </c:pt>
                <c:pt idx="51">
                  <c:v>Mishi Kobe Niku</c:v>
                </c:pt>
                <c:pt idx="52">
                  <c:v>Grandma's Boysenberry Spread</c:v>
                </c:pt>
                <c:pt idx="53">
                  <c:v>Gustaf's Knäckebröd</c:v>
                </c:pt>
                <c:pt idx="54">
                  <c:v>Sasquatch Ale</c:v>
                </c:pt>
                <c:pt idx="55">
                  <c:v>Spegesild</c:v>
                </c:pt>
                <c:pt idx="56">
                  <c:v>Escargots de Bourgogne</c:v>
                </c:pt>
                <c:pt idx="57">
                  <c:v>Teatime Chocolate Biscuits</c:v>
                </c:pt>
                <c:pt idx="58">
                  <c:v>Chef Anton's Gumbo Mix</c:v>
                </c:pt>
                <c:pt idx="59">
                  <c:v>Konbu</c:v>
                </c:pt>
                <c:pt idx="60">
                  <c:v>Tourtière</c:v>
                </c:pt>
                <c:pt idx="61">
                  <c:v>Tunnbröd</c:v>
                </c:pt>
                <c:pt idx="62">
                  <c:v>Guaraná Fantástica</c:v>
                </c:pt>
                <c:pt idx="63">
                  <c:v>Rogede sild</c:v>
                </c:pt>
                <c:pt idx="64">
                  <c:v>Röd Kaviar</c:v>
                </c:pt>
                <c:pt idx="65">
                  <c:v>Zaanse koeken</c:v>
                </c:pt>
                <c:pt idx="66">
                  <c:v>NuNuCa Nuß-Nougat-Creme</c:v>
                </c:pt>
                <c:pt idx="67">
                  <c:v>Valkoinen suklaa</c:v>
                </c:pt>
                <c:pt idx="68">
                  <c:v>Louisiana Hot Spiced Okra</c:v>
                </c:pt>
                <c:pt idx="69">
                  <c:v>Filo Mix</c:v>
                </c:pt>
                <c:pt idx="70">
                  <c:v>Aniseed Syrup</c:v>
                </c:pt>
                <c:pt idx="71">
                  <c:v>Gravad lax</c:v>
                </c:pt>
                <c:pt idx="72">
                  <c:v>Longlife Tofu</c:v>
                </c:pt>
                <c:pt idx="73">
                  <c:v>Laughing Lumberjack Lager</c:v>
                </c:pt>
                <c:pt idx="74">
                  <c:v>Genen Shouyu</c:v>
                </c:pt>
                <c:pt idx="75">
                  <c:v>Geitost</c:v>
                </c:pt>
                <c:pt idx="76">
                  <c:v>Chocolade</c:v>
                </c:pt>
              </c:strCache>
            </c:strRef>
          </c:cat>
          <c:val>
            <c:numRef>
              <c:f>'ABC-analysis'!$I$2:$I$78</c:f>
              <c:numCache>
                <c:formatCode>0%</c:formatCode>
                <c:ptCount val="7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8F8-431B-9A7A-2A37BFC2C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3146943"/>
        <c:axId val="2113142783"/>
      </c:lineChart>
      <c:lineChart>
        <c:grouping val="standard"/>
        <c:varyColors val="0"/>
        <c:ser>
          <c:idx val="1"/>
          <c:order val="1"/>
          <c:tx>
            <c:v>Выручка по продукту</c:v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'ABC-analysis'!$B$2:$B$78</c:f>
              <c:strCache>
                <c:ptCount val="77"/>
                <c:pt idx="0">
                  <c:v>Côte de Blaye</c:v>
                </c:pt>
                <c:pt idx="1">
                  <c:v>Thüringer Rostbratwurst</c:v>
                </c:pt>
                <c:pt idx="2">
                  <c:v>Raclette Courdavault</c:v>
                </c:pt>
                <c:pt idx="3">
                  <c:v>Tarte au sucre</c:v>
                </c:pt>
                <c:pt idx="4">
                  <c:v>Camembert Pierrot</c:v>
                </c:pt>
                <c:pt idx="5">
                  <c:v>Gnocchi di nonna Alice</c:v>
                </c:pt>
                <c:pt idx="6">
                  <c:v>Manjimup Dried Apples</c:v>
                </c:pt>
                <c:pt idx="7">
                  <c:v>Alice Mutton</c:v>
                </c:pt>
                <c:pt idx="8">
                  <c:v>Carnarvon Tigers</c:v>
                </c:pt>
                <c:pt idx="9">
                  <c:v>Rössle Sauerkraut</c:v>
                </c:pt>
                <c:pt idx="10">
                  <c:v>Mozzarella di Giovanni</c:v>
                </c:pt>
                <c:pt idx="11">
                  <c:v>Ipoh Coffee</c:v>
                </c:pt>
                <c:pt idx="12">
                  <c:v>Sir Rodney's Marmalade</c:v>
                </c:pt>
                <c:pt idx="13">
                  <c:v>Uncle Bob's Organic Dried Pears</c:v>
                </c:pt>
                <c:pt idx="14">
                  <c:v>Wimmers gute Semmelknödel</c:v>
                </c:pt>
                <c:pt idx="15">
                  <c:v>Gudbrandsdalsost</c:v>
                </c:pt>
                <c:pt idx="16">
                  <c:v>Ikura</c:v>
                </c:pt>
                <c:pt idx="17">
                  <c:v>Perth Pasties</c:v>
                </c:pt>
                <c:pt idx="18">
                  <c:v>Gumbär Gummibärchen</c:v>
                </c:pt>
                <c:pt idx="19">
                  <c:v>Flotemysost</c:v>
                </c:pt>
                <c:pt idx="20">
                  <c:v>Boston Crab Meat</c:v>
                </c:pt>
                <c:pt idx="21">
                  <c:v>Pâté chinois</c:v>
                </c:pt>
                <c:pt idx="22">
                  <c:v>Pavlova</c:v>
                </c:pt>
                <c:pt idx="23">
                  <c:v>Vegie-spread</c:v>
                </c:pt>
                <c:pt idx="24">
                  <c:v>Chang</c:v>
                </c:pt>
                <c:pt idx="25">
                  <c:v>Lakkalikööri</c:v>
                </c:pt>
                <c:pt idx="26">
                  <c:v>Schoggi Schokolade</c:v>
                </c:pt>
                <c:pt idx="27">
                  <c:v>Gorgonzola Telino</c:v>
                </c:pt>
                <c:pt idx="28">
                  <c:v>Sirop d'érable</c:v>
                </c:pt>
                <c:pt idx="29">
                  <c:v>Louisiana Fiery Hot Pepper Sauce</c:v>
                </c:pt>
                <c:pt idx="30">
                  <c:v>Steeleye Stout</c:v>
                </c:pt>
                <c:pt idx="31">
                  <c:v>Inlagd Sill</c:v>
                </c:pt>
                <c:pt idx="32">
                  <c:v>Nord-Ost Matjeshering</c:v>
                </c:pt>
                <c:pt idx="33">
                  <c:v>Queso Cabrales</c:v>
                </c:pt>
                <c:pt idx="34">
                  <c:v>Chai</c:v>
                </c:pt>
                <c:pt idx="35">
                  <c:v>Northwoods Cranberry Sauce</c:v>
                </c:pt>
                <c:pt idx="36">
                  <c:v>Chartreuse verte</c:v>
                </c:pt>
                <c:pt idx="37">
                  <c:v>Queso Manchego La Pastora</c:v>
                </c:pt>
                <c:pt idx="38">
                  <c:v>Outback Lager</c:v>
                </c:pt>
                <c:pt idx="39">
                  <c:v>Gula Malacca</c:v>
                </c:pt>
                <c:pt idx="40">
                  <c:v>Maxilaku</c:v>
                </c:pt>
                <c:pt idx="41">
                  <c:v>Original Frankfurter grüne Soße</c:v>
                </c:pt>
                <c:pt idx="42">
                  <c:v>Sir Rodney's Scones</c:v>
                </c:pt>
                <c:pt idx="43">
                  <c:v>Scottish Longbreads</c:v>
                </c:pt>
                <c:pt idx="44">
                  <c:v>Jack's New England Clam Chowder</c:v>
                </c:pt>
                <c:pt idx="45">
                  <c:v>Singaporean Hokkien Fried Mee</c:v>
                </c:pt>
                <c:pt idx="46">
                  <c:v>Chef Anton's Cajun Seasoning</c:v>
                </c:pt>
                <c:pt idx="47">
                  <c:v>Mascarpone Fabioli</c:v>
                </c:pt>
                <c:pt idx="48">
                  <c:v>Rhönbräu Klosterbier</c:v>
                </c:pt>
                <c:pt idx="49">
                  <c:v>Tofu</c:v>
                </c:pt>
                <c:pt idx="50">
                  <c:v>Ravioli Angelo</c:v>
                </c:pt>
                <c:pt idx="51">
                  <c:v>Mishi Kobe Niku</c:v>
                </c:pt>
                <c:pt idx="52">
                  <c:v>Grandma's Boysenberry Spread</c:v>
                </c:pt>
                <c:pt idx="53">
                  <c:v>Gustaf's Knäckebröd</c:v>
                </c:pt>
                <c:pt idx="54">
                  <c:v>Sasquatch Ale</c:v>
                </c:pt>
                <c:pt idx="55">
                  <c:v>Spegesild</c:v>
                </c:pt>
                <c:pt idx="56">
                  <c:v>Escargots de Bourgogne</c:v>
                </c:pt>
                <c:pt idx="57">
                  <c:v>Teatime Chocolate Biscuits</c:v>
                </c:pt>
                <c:pt idx="58">
                  <c:v>Chef Anton's Gumbo Mix</c:v>
                </c:pt>
                <c:pt idx="59">
                  <c:v>Konbu</c:v>
                </c:pt>
                <c:pt idx="60">
                  <c:v>Tourtière</c:v>
                </c:pt>
                <c:pt idx="61">
                  <c:v>Tunnbröd</c:v>
                </c:pt>
                <c:pt idx="62">
                  <c:v>Guaraná Fantástica</c:v>
                </c:pt>
                <c:pt idx="63">
                  <c:v>Rogede sild</c:v>
                </c:pt>
                <c:pt idx="64">
                  <c:v>Röd Kaviar</c:v>
                </c:pt>
                <c:pt idx="65">
                  <c:v>Zaanse koeken</c:v>
                </c:pt>
                <c:pt idx="66">
                  <c:v>NuNuCa Nuß-Nougat-Creme</c:v>
                </c:pt>
                <c:pt idx="67">
                  <c:v>Valkoinen suklaa</c:v>
                </c:pt>
                <c:pt idx="68">
                  <c:v>Louisiana Hot Spiced Okra</c:v>
                </c:pt>
                <c:pt idx="69">
                  <c:v>Filo Mix</c:v>
                </c:pt>
                <c:pt idx="70">
                  <c:v>Aniseed Syrup</c:v>
                </c:pt>
                <c:pt idx="71">
                  <c:v>Gravad lax</c:v>
                </c:pt>
                <c:pt idx="72">
                  <c:v>Longlife Tofu</c:v>
                </c:pt>
                <c:pt idx="73">
                  <c:v>Laughing Lumberjack Lager</c:v>
                </c:pt>
                <c:pt idx="74">
                  <c:v>Genen Shouyu</c:v>
                </c:pt>
                <c:pt idx="75">
                  <c:v>Geitost</c:v>
                </c:pt>
                <c:pt idx="76">
                  <c:v>Chocolade</c:v>
                </c:pt>
              </c:strCache>
            </c:strRef>
          </c:cat>
          <c:val>
            <c:numRef>
              <c:f>'ABC-analysis'!$E$2:$E$78</c:f>
              <c:numCache>
                <c:formatCode>General</c:formatCode>
                <c:ptCount val="77"/>
                <c:pt idx="0">
                  <c:v>12788.1</c:v>
                </c:pt>
                <c:pt idx="1">
                  <c:v>16355.96</c:v>
                </c:pt>
                <c:pt idx="2">
                  <c:v>3044</c:v>
                </c:pt>
                <c:pt idx="3">
                  <c:v>8567.9</c:v>
                </c:pt>
                <c:pt idx="4">
                  <c:v>5347.2</c:v>
                </c:pt>
                <c:pt idx="5">
                  <c:v>7137</c:v>
                </c:pt>
                <c:pt idx="6">
                  <c:v>22044.3</c:v>
                </c:pt>
                <c:pt idx="7">
                  <c:v>12772</c:v>
                </c:pt>
                <c:pt idx="8">
                  <c:v>7226.5</c:v>
                </c:pt>
                <c:pt idx="9">
                  <c:v>20867.34</c:v>
                </c:pt>
                <c:pt idx="10">
                  <c:v>12901.77</c:v>
                </c:pt>
                <c:pt idx="11">
                  <c:v>12257.66</c:v>
                </c:pt>
                <c:pt idx="12">
                  <c:v>4960.4399999999996</c:v>
                </c:pt>
                <c:pt idx="13">
                  <c:v>7991.49</c:v>
                </c:pt>
                <c:pt idx="14">
                  <c:v>1784.82</c:v>
                </c:pt>
                <c:pt idx="15">
                  <c:v>17215.78</c:v>
                </c:pt>
                <c:pt idx="16">
                  <c:v>32698.38</c:v>
                </c:pt>
                <c:pt idx="17">
                  <c:v>29171.87</c:v>
                </c:pt>
                <c:pt idx="18">
                  <c:v>5862.62</c:v>
                </c:pt>
                <c:pt idx="19">
                  <c:v>22563.360000000001</c:v>
                </c:pt>
                <c:pt idx="20">
                  <c:v>9104</c:v>
                </c:pt>
                <c:pt idx="21">
                  <c:v>7122.36</c:v>
                </c:pt>
                <c:pt idx="22">
                  <c:v>4601.7</c:v>
                </c:pt>
                <c:pt idx="23">
                  <c:v>4504.3599999999997</c:v>
                </c:pt>
                <c:pt idx="24">
                  <c:v>3704.4</c:v>
                </c:pt>
                <c:pt idx="25">
                  <c:v>19849.14</c:v>
                </c:pt>
                <c:pt idx="26">
                  <c:v>15099.88</c:v>
                </c:pt>
                <c:pt idx="27">
                  <c:v>25696.639999999999</c:v>
                </c:pt>
                <c:pt idx="28">
                  <c:v>80368.67</c:v>
                </c:pt>
                <c:pt idx="29">
                  <c:v>13424.2</c:v>
                </c:pt>
                <c:pt idx="30">
                  <c:v>14920.87</c:v>
                </c:pt>
                <c:pt idx="31">
                  <c:v>8404.16</c:v>
                </c:pt>
                <c:pt idx="32">
                  <c:v>1648.12</c:v>
                </c:pt>
                <c:pt idx="33">
                  <c:v>6350.4</c:v>
                </c:pt>
                <c:pt idx="34">
                  <c:v>13644</c:v>
                </c:pt>
                <c:pt idx="35">
                  <c:v>13458.46</c:v>
                </c:pt>
                <c:pt idx="36">
                  <c:v>2688.4</c:v>
                </c:pt>
                <c:pt idx="37">
                  <c:v>141396.74</c:v>
                </c:pt>
                <c:pt idx="38">
                  <c:v>12294.54</c:v>
                </c:pt>
                <c:pt idx="39">
                  <c:v>17910.63</c:v>
                </c:pt>
                <c:pt idx="40">
                  <c:v>8680.34</c:v>
                </c:pt>
                <c:pt idx="41">
                  <c:v>8575</c:v>
                </c:pt>
                <c:pt idx="42">
                  <c:v>23526.7</c:v>
                </c:pt>
                <c:pt idx="43">
                  <c:v>9915.9500000000007</c:v>
                </c:pt>
                <c:pt idx="44">
                  <c:v>4338.17</c:v>
                </c:pt>
                <c:pt idx="45">
                  <c:v>5883</c:v>
                </c:pt>
                <c:pt idx="46">
                  <c:v>3958.08</c:v>
                </c:pt>
                <c:pt idx="47">
                  <c:v>1368.71</c:v>
                </c:pt>
                <c:pt idx="48">
                  <c:v>9244.6</c:v>
                </c:pt>
                <c:pt idx="49">
                  <c:v>3437.69</c:v>
                </c:pt>
                <c:pt idx="50">
                  <c:v>41819.65</c:v>
                </c:pt>
                <c:pt idx="51">
                  <c:v>3232.95</c:v>
                </c:pt>
                <c:pt idx="52">
                  <c:v>20574.169999999998</c:v>
                </c:pt>
                <c:pt idx="53">
                  <c:v>4728.24</c:v>
                </c:pt>
                <c:pt idx="54">
                  <c:v>17426.400000000001</c:v>
                </c:pt>
                <c:pt idx="55">
                  <c:v>42593.06</c:v>
                </c:pt>
                <c:pt idx="56">
                  <c:v>7661.55</c:v>
                </c:pt>
                <c:pt idx="57">
                  <c:v>5881.68</c:v>
                </c:pt>
                <c:pt idx="58">
                  <c:v>71155.7</c:v>
                </c:pt>
                <c:pt idx="59">
                  <c:v>46825.48</c:v>
                </c:pt>
                <c:pt idx="60">
                  <c:v>14352.6</c:v>
                </c:pt>
                <c:pt idx="61">
                  <c:v>47234.97</c:v>
                </c:pt>
                <c:pt idx="62">
                  <c:v>16701.099999999999</c:v>
                </c:pt>
                <c:pt idx="63">
                  <c:v>21957.97</c:v>
                </c:pt>
                <c:pt idx="64">
                  <c:v>13869.89</c:v>
                </c:pt>
                <c:pt idx="65">
                  <c:v>3383</c:v>
                </c:pt>
                <c:pt idx="66">
                  <c:v>2396.8000000000002</c:v>
                </c:pt>
                <c:pt idx="67">
                  <c:v>8714</c:v>
                </c:pt>
                <c:pt idx="68">
                  <c:v>21942.36</c:v>
                </c:pt>
                <c:pt idx="69">
                  <c:v>10672.65</c:v>
                </c:pt>
                <c:pt idx="70">
                  <c:v>19551.03</c:v>
                </c:pt>
                <c:pt idx="71">
                  <c:v>24900.13</c:v>
                </c:pt>
                <c:pt idx="72">
                  <c:v>3997.2</c:v>
                </c:pt>
                <c:pt idx="73">
                  <c:v>2432.5</c:v>
                </c:pt>
                <c:pt idx="74">
                  <c:v>8177.49</c:v>
                </c:pt>
                <c:pt idx="75">
                  <c:v>15760.44</c:v>
                </c:pt>
                <c:pt idx="76">
                  <c:v>9171.6299999999992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F8-431B-9A7A-2A37BFC2C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3143199"/>
        <c:axId val="2113141119"/>
      </c:lineChart>
      <c:catAx>
        <c:axId val="211314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3142783"/>
        <c:crosses val="autoZero"/>
        <c:auto val="1"/>
        <c:lblAlgn val="ctr"/>
        <c:lblOffset val="100"/>
        <c:noMultiLvlLbl val="0"/>
      </c:catAx>
      <c:valAx>
        <c:axId val="211314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3146943"/>
        <c:crosses val="autoZero"/>
        <c:crossBetween val="between"/>
      </c:valAx>
      <c:valAx>
        <c:axId val="211314111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3143199"/>
        <c:crosses val="max"/>
        <c:crossBetween val="between"/>
      </c:valAx>
      <c:catAx>
        <c:axId val="21131431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13141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Категории</a:t>
            </a:r>
            <a:r>
              <a:rPr lang="ru-RU" baseline="0"/>
              <a:t> товаров, %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19C-4490-8534-C7C2BE735510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19C-4490-8534-C7C2BE735510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9C-4490-8534-C7C2BE735510}"/>
              </c:ext>
            </c:extLst>
          </c:dPt>
          <c:dLbls>
            <c:dLbl>
              <c:idx val="0"/>
              <c:layout>
                <c:manualLayout>
                  <c:x val="6.7275916935253558E-3"/>
                  <c:y val="1.755236330096709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D51B953-0E05-48B1-96C1-03429984B3E2}" type="VALUE">
                      <a:rPr lang="en-US" sz="1200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[ЗНАЧЕНИЕ]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19C-4490-8534-C7C2BE735510}"/>
                </c:ext>
              </c:extLst>
            </c:dLbl>
            <c:dLbl>
              <c:idx val="1"/>
              <c:layout>
                <c:manualLayout>
                  <c:x val="-9.8240509874190085E-2"/>
                  <c:y val="-8.903411314224142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7F0C4F9-8837-49EB-91BD-9F5C997A8CFB}" type="VALUE">
                      <a:rPr lang="en-US" sz="1200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[ЗНАЧЕНИЕ]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19C-4490-8534-C7C2BE735510}"/>
                </c:ext>
              </c:extLst>
            </c:dLbl>
            <c:dLbl>
              <c:idx val="2"/>
              <c:layout>
                <c:manualLayout>
                  <c:x val="-8.9450462273094732E-3"/>
                  <c:y val="-2.856365729987668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CF7E670-18E4-4100-AF24-78F6126DB3FB}" type="VALUE">
                      <a:rPr lang="en-US" sz="1200">
                        <a:solidFill>
                          <a:schemeClr val="tx1"/>
                        </a:solidFill>
                      </a:rPr>
                      <a:pPr>
                        <a:defRPr>
                          <a:solidFill>
                            <a:schemeClr val="tx1"/>
                          </a:solidFill>
                        </a:defRPr>
                      </a:pPr>
                      <a:t>[ЗНАЧЕНИЕ]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19C-4490-8534-C7C2BE7355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'ABC-analysis'!$N$2:$N$4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'ABC-analysis'!$O$2:$O$4</c:f>
              <c:numCache>
                <c:formatCode>General</c:formatCode>
                <c:ptCount val="3"/>
                <c:pt idx="0">
                  <c:v>35</c:v>
                </c:pt>
                <c:pt idx="1">
                  <c:v>23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C-4490-8534-C7C2BE735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ABC</a:t>
            </a:r>
            <a:r>
              <a:rPr lang="ru-RU"/>
              <a:t>-анализ</a:t>
            </a:r>
            <a:r>
              <a:rPr lang="ru-RU" baseline="0"/>
              <a:t> по категориям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Выручка по категориям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'ABC-analysis'!$L$64:$L$71</c:f>
              <c:strCache>
                <c:ptCount val="8"/>
                <c:pt idx="0">
                  <c:v>Beverages</c:v>
                </c:pt>
                <c:pt idx="1">
                  <c:v>Dairy Products</c:v>
                </c:pt>
                <c:pt idx="2">
                  <c:v>Confections</c:v>
                </c:pt>
                <c:pt idx="3">
                  <c:v>Meat/Poultry</c:v>
                </c:pt>
                <c:pt idx="4">
                  <c:v>Seafood</c:v>
                </c:pt>
                <c:pt idx="5">
                  <c:v>Condiments</c:v>
                </c:pt>
                <c:pt idx="6">
                  <c:v>Produce</c:v>
                </c:pt>
                <c:pt idx="7">
                  <c:v>Grains/Cereals</c:v>
                </c:pt>
              </c:strCache>
            </c:strRef>
          </c:cat>
          <c:val>
            <c:numRef>
              <c:f>'ABC-analysis'!$M$64:$M$71</c:f>
              <c:numCache>
                <c:formatCode>0.00</c:formatCode>
                <c:ptCount val="8"/>
                <c:pt idx="0">
                  <c:v>267868.18</c:v>
                </c:pt>
                <c:pt idx="1">
                  <c:v>234507.28</c:v>
                </c:pt>
                <c:pt idx="2">
                  <c:v>167357.23000000001</c:v>
                </c:pt>
                <c:pt idx="3">
                  <c:v>163022.35999999999</c:v>
                </c:pt>
                <c:pt idx="4">
                  <c:v>131261.74</c:v>
                </c:pt>
                <c:pt idx="5">
                  <c:v>106047.08</c:v>
                </c:pt>
                <c:pt idx="6">
                  <c:v>99984.58</c:v>
                </c:pt>
                <c:pt idx="7">
                  <c:v>95744.59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7-4170-B0EE-DE01ACF3F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2683199"/>
        <c:axId val="1942684031"/>
      </c:barChart>
      <c:lineChart>
        <c:grouping val="standard"/>
        <c:varyColors val="0"/>
        <c:ser>
          <c:idx val="1"/>
          <c:order val="1"/>
          <c:tx>
            <c:v>Доля выручки</c:v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>
                    <a:lumMod val="40000"/>
                    <a:lumOff val="60000"/>
                  </a:schemeClr>
                </a:solidFill>
              </a:ln>
              <a:effectLst/>
            </c:spPr>
          </c:marker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D7-4170-B0EE-DE01ACF3FE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'ABC-analysis'!$L$64:$L$71</c:f>
              <c:strCache>
                <c:ptCount val="8"/>
                <c:pt idx="0">
                  <c:v>Beverages</c:v>
                </c:pt>
                <c:pt idx="1">
                  <c:v>Dairy Products</c:v>
                </c:pt>
                <c:pt idx="2">
                  <c:v>Confections</c:v>
                </c:pt>
                <c:pt idx="3">
                  <c:v>Meat/Poultry</c:v>
                </c:pt>
                <c:pt idx="4">
                  <c:v>Seafood</c:v>
                </c:pt>
                <c:pt idx="5">
                  <c:v>Condiments</c:v>
                </c:pt>
                <c:pt idx="6">
                  <c:v>Produce</c:v>
                </c:pt>
                <c:pt idx="7">
                  <c:v>Grains/Cereals</c:v>
                </c:pt>
              </c:strCache>
            </c:strRef>
          </c:cat>
          <c:val>
            <c:numRef>
              <c:f>'ABC-analysis'!$O$64:$O$71</c:f>
              <c:numCache>
                <c:formatCode>0.00%</c:formatCode>
                <c:ptCount val="8"/>
                <c:pt idx="0">
                  <c:v>0.21160000000000001</c:v>
                </c:pt>
                <c:pt idx="1">
                  <c:v>0.39689999999999998</c:v>
                </c:pt>
                <c:pt idx="2">
                  <c:v>0.52910000000000001</c:v>
                </c:pt>
                <c:pt idx="3">
                  <c:v>0.65790000000000004</c:v>
                </c:pt>
                <c:pt idx="4">
                  <c:v>0.76159999999999994</c:v>
                </c:pt>
                <c:pt idx="5">
                  <c:v>0.84540000000000004</c:v>
                </c:pt>
                <c:pt idx="6">
                  <c:v>0.9244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D7-4170-B0EE-DE01ACF3F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2686111"/>
        <c:axId val="1942685279"/>
      </c:lineChart>
      <c:catAx>
        <c:axId val="194268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2684031"/>
        <c:crosses val="autoZero"/>
        <c:auto val="1"/>
        <c:lblAlgn val="ctr"/>
        <c:lblOffset val="100"/>
        <c:noMultiLvlLbl val="0"/>
      </c:catAx>
      <c:valAx>
        <c:axId val="194268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2683199"/>
        <c:crosses val="autoZero"/>
        <c:crossBetween val="between"/>
      </c:valAx>
      <c:valAx>
        <c:axId val="1942685279"/>
        <c:scaling>
          <c:orientation val="minMax"/>
          <c:max val="1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2686111"/>
        <c:crosses val="max"/>
        <c:crossBetween val="between"/>
      </c:valAx>
      <c:catAx>
        <c:axId val="19426861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426852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RFM-</a:t>
            </a:r>
            <a:r>
              <a:rPr lang="ru-RU" b="1"/>
              <a:t>анализ,</a:t>
            </a:r>
            <a:r>
              <a:rPr lang="ru-RU" b="1" baseline="0"/>
              <a:t> категории клиентов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'RFM-analysis'!$L$13:$L$20</c:f>
              <c:strCache>
                <c:ptCount val="8"/>
                <c:pt idx="0">
                  <c:v>VIP</c:v>
                </c:pt>
                <c:pt idx="1">
                  <c:v>Loyal</c:v>
                </c:pt>
                <c:pt idx="2">
                  <c:v>Promising</c:v>
                </c:pt>
                <c:pt idx="3">
                  <c:v>New</c:v>
                </c:pt>
                <c:pt idx="4">
                  <c:v>Needs attention</c:v>
                </c:pt>
                <c:pt idx="5">
                  <c:v>Hibernating</c:v>
                </c:pt>
                <c:pt idx="6">
                  <c:v>Lost</c:v>
                </c:pt>
                <c:pt idx="7">
                  <c:v>Cant lose them</c:v>
                </c:pt>
              </c:strCache>
            </c:strRef>
          </c:cat>
          <c:val>
            <c:numRef>
              <c:f>'RFM-analysis'!$M$13:$M$20</c:f>
              <c:numCache>
                <c:formatCode>General</c:formatCode>
                <c:ptCount val="8"/>
                <c:pt idx="0">
                  <c:v>30</c:v>
                </c:pt>
                <c:pt idx="1">
                  <c:v>2</c:v>
                </c:pt>
                <c:pt idx="2">
                  <c:v>11</c:v>
                </c:pt>
                <c:pt idx="3">
                  <c:v>2</c:v>
                </c:pt>
                <c:pt idx="4">
                  <c:v>15</c:v>
                </c:pt>
                <c:pt idx="5">
                  <c:v>15</c:v>
                </c:pt>
                <c:pt idx="6">
                  <c:v>11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A-4B6B-8405-69D4380C9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096031"/>
        <c:axId val="2132099775"/>
      </c:barChart>
      <c:catAx>
        <c:axId val="213209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2099775"/>
        <c:crosses val="autoZero"/>
        <c:auto val="1"/>
        <c:lblAlgn val="ctr"/>
        <c:lblOffset val="100"/>
        <c:noMultiLvlLbl val="0"/>
      </c:catAx>
      <c:valAx>
        <c:axId val="213209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209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Категории</a:t>
            </a:r>
            <a:r>
              <a:rPr lang="ru-RU" baseline="0"/>
              <a:t> клиентов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4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A2C-4972-ADA1-085F9A87F135}"/>
              </c:ext>
            </c:extLst>
          </c:dPt>
          <c:dPt>
            <c:idx val="1"/>
            <c:bubble3D val="0"/>
            <c:spPr>
              <a:solidFill>
                <a:schemeClr val="accent1">
                  <a:shade val="61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A2C-4972-ADA1-085F9A87F135}"/>
              </c:ext>
            </c:extLst>
          </c:dPt>
          <c:dPt>
            <c:idx val="2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A2C-4972-ADA1-085F9A87F135}"/>
              </c:ext>
            </c:extLst>
          </c:dPt>
          <c:dPt>
            <c:idx val="3"/>
            <c:bubble3D val="0"/>
            <c:spPr>
              <a:solidFill>
                <a:schemeClr val="accent1">
                  <a:shade val="9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A2C-4972-ADA1-085F9A87F135}"/>
              </c:ext>
            </c:extLst>
          </c:dPt>
          <c:dPt>
            <c:idx val="4"/>
            <c:bubble3D val="0"/>
            <c:spPr>
              <a:solidFill>
                <a:schemeClr val="accent1">
                  <a:tint val="93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A2C-4972-ADA1-085F9A87F135}"/>
              </c:ext>
            </c:extLst>
          </c:dPt>
          <c:dPt>
            <c:idx val="5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A2C-4972-ADA1-085F9A87F135}"/>
              </c:ext>
            </c:extLst>
          </c:dPt>
          <c:dPt>
            <c:idx val="6"/>
            <c:bubble3D val="0"/>
            <c:spPr>
              <a:solidFill>
                <a:schemeClr val="accent1">
                  <a:tint val="62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A2C-4972-ADA1-085F9A87F135}"/>
              </c:ext>
            </c:extLst>
          </c:dPt>
          <c:dPt>
            <c:idx val="7"/>
            <c:bubble3D val="0"/>
            <c:spPr>
              <a:solidFill>
                <a:schemeClr val="accent1">
                  <a:tint val="4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1A2C-4972-ADA1-085F9A87F135}"/>
              </c:ext>
            </c:extLst>
          </c:dPt>
          <c:dLbls>
            <c:dLbl>
              <c:idx val="0"/>
              <c:layout>
                <c:manualLayout>
                  <c:x val="-0.13624435580436467"/>
                  <c:y val="8.605715111895984E-2"/>
                </c:manualLayout>
              </c:layout>
              <c:tx>
                <c:rich>
                  <a:bodyPr/>
                  <a:lstStyle/>
                  <a:p>
                    <a:fld id="{E7DEA7A0-37D2-4A8A-A242-5900F61F0F1F}" type="VALUE">
                      <a:rPr lang="en-US">
                        <a:solidFill>
                          <a:schemeClr val="bg1"/>
                        </a:solidFill>
                      </a:rPr>
                      <a:pPr/>
                      <a:t>[ЗНАЧЕНИЕ]</a:t>
                    </a:fld>
                    <a:endParaRPr lang="ru-RU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A2C-4972-ADA1-085F9A87F135}"/>
                </c:ext>
              </c:extLst>
            </c:dLbl>
            <c:dLbl>
              <c:idx val="1"/>
              <c:layout>
                <c:manualLayout>
                  <c:x val="-0.11146926990904293"/>
                  <c:y val="-6.6763513521266721E-2"/>
                </c:manualLayout>
              </c:layout>
              <c:tx>
                <c:rich>
                  <a:bodyPr/>
                  <a:lstStyle/>
                  <a:p>
                    <a:fld id="{2B39E6AB-FFD1-4368-B9B1-BC4F3A35C3C7}" type="VALUE">
                      <a:rPr lang="en-US"/>
                      <a:pPr/>
                      <a:t>[ЗНАЧЕНИЕ]</a:t>
                    </a:fld>
                    <a:endParaRPr lang="ru-RU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1A2C-4972-ADA1-085F9A87F135}"/>
                </c:ext>
              </c:extLst>
            </c:dLbl>
            <c:dLbl>
              <c:idx val="2"/>
              <c:layout>
                <c:manualLayout>
                  <c:x val="-0.10685983888361969"/>
                  <c:y val="-0.12551467103624997"/>
                </c:manualLayout>
              </c:layout>
              <c:tx>
                <c:rich>
                  <a:bodyPr/>
                  <a:lstStyle/>
                  <a:p>
                    <a:fld id="{D1A1E3C3-F7EC-48CF-A5AB-1AD7E7661199}" type="VALUE">
                      <a:rPr lang="en-US"/>
                      <a:pPr/>
                      <a:t>[ЗНАЧЕНИЕ]</a:t>
                    </a:fld>
                    <a:endParaRPr lang="ru-RU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1A2C-4972-ADA1-085F9A87F135}"/>
                </c:ext>
              </c:extLst>
            </c:dLbl>
            <c:dLbl>
              <c:idx val="3"/>
              <c:layout>
                <c:manualLayout>
                  <c:x val="-2.5699087124679578E-2"/>
                  <c:y val="-0.10757551243346092"/>
                </c:manualLayout>
              </c:layout>
              <c:tx>
                <c:rich>
                  <a:bodyPr/>
                  <a:lstStyle/>
                  <a:p>
                    <a:fld id="{17146C23-0AD3-495C-BF9A-5A191B4AA892}" type="VALUE">
                      <a:rPr lang="en-US"/>
                      <a:pPr/>
                      <a:t>[ЗНАЧЕНИЕ]</a:t>
                    </a:fld>
                    <a:endParaRPr lang="ru-RU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1A2C-4972-ADA1-085F9A87F135}"/>
                </c:ext>
              </c:extLst>
            </c:dLbl>
            <c:dLbl>
              <c:idx val="4"/>
              <c:layout>
                <c:manualLayout>
                  <c:x val="0.10909185043693978"/>
                  <c:y val="-0.12069596628260693"/>
                </c:manualLayout>
              </c:layout>
              <c:tx>
                <c:rich>
                  <a:bodyPr/>
                  <a:lstStyle/>
                  <a:p>
                    <a:fld id="{DD224516-F089-4EBF-A6AB-49823A815780}" type="VALUE">
                      <a:rPr lang="en-US">
                        <a:solidFill>
                          <a:schemeClr val="bg1"/>
                        </a:solidFill>
                      </a:rPr>
                      <a:pPr/>
                      <a:t>[ЗНАЧЕНИЕ]</a:t>
                    </a:fld>
                    <a:endParaRPr lang="ru-RU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1A2C-4972-ADA1-085F9A87F135}"/>
                </c:ext>
              </c:extLst>
            </c:dLbl>
            <c:dLbl>
              <c:idx val="5"/>
              <c:layout>
                <c:manualLayout>
                  <c:x val="7.4421315038373362E-2"/>
                  <c:y val="-8.5943551135483475E-3"/>
                </c:manualLayout>
              </c:layout>
              <c:tx>
                <c:rich>
                  <a:bodyPr/>
                  <a:lstStyle/>
                  <a:p>
                    <a:fld id="{188F2245-7AAC-44ED-8AE3-E1743B5E8543}" type="VALUE">
                      <a:rPr lang="en-US">
                        <a:solidFill>
                          <a:schemeClr val="bg1"/>
                        </a:solidFill>
                      </a:rPr>
                      <a:pPr/>
                      <a:t>[ЗНАЧЕНИЕ]</a:t>
                    </a:fld>
                    <a:endParaRPr lang="ru-RU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1A2C-4972-ADA1-085F9A87F135}"/>
                </c:ext>
              </c:extLst>
            </c:dLbl>
            <c:dLbl>
              <c:idx val="6"/>
              <c:layout>
                <c:manualLayout>
                  <c:x val="0.12559322575350493"/>
                  <c:y val="0.12826034821263615"/>
                </c:manualLayout>
              </c:layout>
              <c:tx>
                <c:rich>
                  <a:bodyPr/>
                  <a:lstStyle/>
                  <a:p>
                    <a:fld id="{DFB1803F-2FF5-43BA-BDFE-9F057210F83A}" type="VALUE">
                      <a:rPr lang="en-US">
                        <a:solidFill>
                          <a:schemeClr val="bg1"/>
                        </a:solidFill>
                      </a:rPr>
                      <a:pPr/>
                      <a:t>[ЗНАЧЕНИЕ]</a:t>
                    </a:fld>
                    <a:endParaRPr lang="ru-RU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1A2C-4972-ADA1-085F9A87F135}"/>
                </c:ext>
              </c:extLst>
            </c:dLbl>
            <c:dLbl>
              <c:idx val="7"/>
              <c:layout>
                <c:manualLayout>
                  <c:x val="3.4476658173522322E-2"/>
                  <c:y val="9.9844517194332849E-2"/>
                </c:manualLayout>
              </c:layout>
              <c:tx>
                <c:rich>
                  <a:bodyPr/>
                  <a:lstStyle/>
                  <a:p>
                    <a:fld id="{F69D9B80-E42A-408D-A5E9-DE10659810A6}" type="VALUE">
                      <a:rPr lang="en-US"/>
                      <a:pPr/>
                      <a:t>[ЗНАЧЕНИЕ]</a:t>
                    </a:fld>
                    <a:endParaRPr lang="ru-RU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1A2C-4972-ADA1-085F9A87F135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'RFM-analysis'!$L$13:$L$20</c:f>
              <c:strCache>
                <c:ptCount val="8"/>
                <c:pt idx="0">
                  <c:v>VIP</c:v>
                </c:pt>
                <c:pt idx="1">
                  <c:v>Loyal</c:v>
                </c:pt>
                <c:pt idx="2">
                  <c:v>Promising</c:v>
                </c:pt>
                <c:pt idx="3">
                  <c:v>New</c:v>
                </c:pt>
                <c:pt idx="4">
                  <c:v>Needs attention</c:v>
                </c:pt>
                <c:pt idx="5">
                  <c:v>Hibernating</c:v>
                </c:pt>
                <c:pt idx="6">
                  <c:v>Lost</c:v>
                </c:pt>
                <c:pt idx="7">
                  <c:v>Cant lose them</c:v>
                </c:pt>
              </c:strCache>
            </c:strRef>
          </c:cat>
          <c:val>
            <c:numRef>
              <c:f>'RFM-analysis'!$N$13:$N$20</c:f>
              <c:numCache>
                <c:formatCode>0.00%</c:formatCode>
                <c:ptCount val="8"/>
                <c:pt idx="0">
                  <c:v>0.32967032967032966</c:v>
                </c:pt>
                <c:pt idx="1">
                  <c:v>2.197802197802198E-2</c:v>
                </c:pt>
                <c:pt idx="2">
                  <c:v>0.12087912087912088</c:v>
                </c:pt>
                <c:pt idx="3">
                  <c:v>2.197802197802198E-2</c:v>
                </c:pt>
                <c:pt idx="4">
                  <c:v>0.16483516483516483</c:v>
                </c:pt>
                <c:pt idx="5">
                  <c:v>0.16483516483516483</c:v>
                </c:pt>
                <c:pt idx="6">
                  <c:v>0.12087912087912088</c:v>
                </c:pt>
                <c:pt idx="7">
                  <c:v>5.4945054945054944E-2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C-4972-ADA1-085F9A87F13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 _PetProject.xlsx]Retention rate &amp; LTV!Сводная таблица1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накопленного </a:t>
            </a:r>
            <a:r>
              <a:rPr lang="en-US"/>
              <a:t>LTV </a:t>
            </a:r>
            <a:r>
              <a:rPr lang="ru-RU"/>
              <a:t>по когортам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50000"/>
              </a:schemeClr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50000"/>
              </a:schemeClr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'Retention rate &amp; LTV'!$I$3:$I$4</c:f>
              <c:strCache>
                <c:ptCount val="1"/>
                <c:pt idx="0">
                  <c:v>01.07.1996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'Retention rate &amp; LTV'!$H$5:$H$28</c:f>
              <c:strCach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strCache>
            </c:strRef>
          </c:cat>
          <c:val>
            <c:numRef>
              <c:f>'Retention rate &amp; LTV'!$I$5:$I$28</c:f>
              <c:numCache>
                <c:formatCode>General</c:formatCode>
                <c:ptCount val="23"/>
                <c:pt idx="0">
                  <c:v>1393.09</c:v>
                </c:pt>
                <c:pt idx="1">
                  <c:v>1680.88</c:v>
                </c:pt>
                <c:pt idx="2">
                  <c:v>2139.87</c:v>
                </c:pt>
                <c:pt idx="3">
                  <c:v>2522.65</c:v>
                </c:pt>
                <c:pt idx="4">
                  <c:v>3442.33</c:v>
                </c:pt>
                <c:pt idx="5">
                  <c:v>3997.41</c:v>
                </c:pt>
                <c:pt idx="6">
                  <c:v>4976.6499999999996</c:v>
                </c:pt>
                <c:pt idx="7">
                  <c:v>5770.38</c:v>
                </c:pt>
                <c:pt idx="8">
                  <c:v>6817.3</c:v>
                </c:pt>
                <c:pt idx="9">
                  <c:v>7474.36</c:v>
                </c:pt>
                <c:pt idx="10">
                  <c:v>8191.92</c:v>
                </c:pt>
                <c:pt idx="11">
                  <c:v>8827.82</c:v>
                </c:pt>
                <c:pt idx="12">
                  <c:v>9475.14</c:v>
                </c:pt>
                <c:pt idx="13">
                  <c:v>10151.34</c:v>
                </c:pt>
                <c:pt idx="14">
                  <c:v>10823.32</c:v>
                </c:pt>
                <c:pt idx="15">
                  <c:v>11452.24</c:v>
                </c:pt>
                <c:pt idx="16">
                  <c:v>11995.47</c:v>
                </c:pt>
                <c:pt idx="17">
                  <c:v>13528.72</c:v>
                </c:pt>
                <c:pt idx="18">
                  <c:v>14863.48</c:v>
                </c:pt>
                <c:pt idx="19">
                  <c:v>16316.83</c:v>
                </c:pt>
                <c:pt idx="20">
                  <c:v>18366.310000000001</c:v>
                </c:pt>
                <c:pt idx="21">
                  <c:v>20974.68</c:v>
                </c:pt>
                <c:pt idx="22">
                  <c:v>21369.71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01-471C-B719-323D988A1A71}"/>
            </c:ext>
          </c:extLst>
        </c:ser>
        <c:ser>
          <c:idx val="1"/>
          <c:order val="1"/>
          <c:tx>
            <c:strRef>
              <c:f>'Retention rate &amp; LTV'!$J$3:$J$4</c:f>
              <c:strCache>
                <c:ptCount val="1"/>
                <c:pt idx="0">
                  <c:v>01.10.1996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cat>
            <c:strRef>
              <c:f>'Retention rate &amp; LTV'!$H$5:$H$28</c:f>
              <c:strCach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strCache>
            </c:strRef>
          </c:cat>
          <c:val>
            <c:numRef>
              <c:f>'Retention rate &amp; LTV'!$J$5:$J$28</c:f>
              <c:numCache>
                <c:formatCode>General</c:formatCode>
                <c:ptCount val="23"/>
                <c:pt idx="0">
                  <c:v>1944.71</c:v>
                </c:pt>
                <c:pt idx="1">
                  <c:v>2195.23</c:v>
                </c:pt>
                <c:pt idx="2">
                  <c:v>2881.71</c:v>
                </c:pt>
                <c:pt idx="3">
                  <c:v>5146.4799999999996</c:v>
                </c:pt>
                <c:pt idx="4">
                  <c:v>6370.19</c:v>
                </c:pt>
                <c:pt idx="5">
                  <c:v>7060.67</c:v>
                </c:pt>
                <c:pt idx="6">
                  <c:v>8020.4</c:v>
                </c:pt>
                <c:pt idx="7">
                  <c:v>8349.82</c:v>
                </c:pt>
                <c:pt idx="8">
                  <c:v>9114.7900000000009</c:v>
                </c:pt>
                <c:pt idx="9">
                  <c:v>11312.01</c:v>
                </c:pt>
                <c:pt idx="10">
                  <c:v>12061.21</c:v>
                </c:pt>
                <c:pt idx="11">
                  <c:v>13551.98</c:v>
                </c:pt>
                <c:pt idx="12">
                  <c:v>15562.12</c:v>
                </c:pt>
                <c:pt idx="13">
                  <c:v>16458.87</c:v>
                </c:pt>
                <c:pt idx="14">
                  <c:v>17294.78</c:v>
                </c:pt>
                <c:pt idx="15">
                  <c:v>19265.400000000001</c:v>
                </c:pt>
                <c:pt idx="16">
                  <c:v>20603.63</c:v>
                </c:pt>
                <c:pt idx="17">
                  <c:v>21600.61</c:v>
                </c:pt>
                <c:pt idx="18">
                  <c:v>24135</c:v>
                </c:pt>
                <c:pt idx="19">
                  <c:v>24763.360000000001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01-471C-B719-323D988A1A71}"/>
            </c:ext>
          </c:extLst>
        </c:ser>
        <c:ser>
          <c:idx val="2"/>
          <c:order val="2"/>
          <c:tx>
            <c:strRef>
              <c:f>'Retention rate &amp; LTV'!$K$3:$K$4</c:f>
              <c:strCache>
                <c:ptCount val="1"/>
                <c:pt idx="0">
                  <c:v>01.01.1997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'Retention rate &amp; LTV'!$H$5:$H$28</c:f>
              <c:strCach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strCache>
            </c:strRef>
          </c:cat>
          <c:val>
            <c:numRef>
              <c:f>'Retention rate &amp; LTV'!$K$5:$K$28</c:f>
              <c:numCache>
                <c:formatCode>General</c:formatCode>
                <c:ptCount val="23"/>
                <c:pt idx="0">
                  <c:v>682.28</c:v>
                </c:pt>
                <c:pt idx="2">
                  <c:v>1150.28</c:v>
                </c:pt>
                <c:pt idx="4">
                  <c:v>1172.28</c:v>
                </c:pt>
                <c:pt idx="7">
                  <c:v>2713.39</c:v>
                </c:pt>
                <c:pt idx="8">
                  <c:v>2937.38</c:v>
                </c:pt>
                <c:pt idx="9">
                  <c:v>3801.96</c:v>
                </c:pt>
                <c:pt idx="10">
                  <c:v>4489.2299999999996</c:v>
                </c:pt>
                <c:pt idx="11">
                  <c:v>5542.81</c:v>
                </c:pt>
                <c:pt idx="12">
                  <c:v>6143.13</c:v>
                </c:pt>
                <c:pt idx="13">
                  <c:v>6149.13</c:v>
                </c:pt>
                <c:pt idx="14">
                  <c:v>7332.14</c:v>
                </c:pt>
                <c:pt idx="15">
                  <c:v>8312.7000000000007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01-471C-B719-323D988A1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06656"/>
        <c:axId val="169803744"/>
      </c:lineChart>
      <c:catAx>
        <c:axId val="16980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803744"/>
        <c:crosses val="autoZero"/>
        <c:auto val="1"/>
        <c:lblAlgn val="ctr"/>
        <c:lblOffset val="100"/>
        <c:noMultiLvlLbl val="0"/>
      </c:catAx>
      <c:valAx>
        <c:axId val="16980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80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Стоимость запасов по категориям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'Supply Chain Analysis'!$O$1</c:f>
              <c:strCache>
                <c:ptCount val="1"/>
                <c:pt idx="0">
                  <c:v>category_stock_value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FBE-4E86-AE0D-FA7060CB88C3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FBE-4E86-AE0D-FA7060CB88C3}"/>
              </c:ext>
            </c:extLst>
          </c:dPt>
          <c:cat>
            <c:strRef>
              <c:f>'Supply Chain Analysis'!$M$2:$M$9</c:f>
              <c:strCache>
                <c:ptCount val="8"/>
                <c:pt idx="0">
                  <c:v>Grains/Cereals</c:v>
                </c:pt>
                <c:pt idx="1">
                  <c:v>Beverages</c:v>
                </c:pt>
                <c:pt idx="2">
                  <c:v>Dairy Products</c:v>
                </c:pt>
                <c:pt idx="3">
                  <c:v>Seafood</c:v>
                </c:pt>
                <c:pt idx="4">
                  <c:v>Produce</c:v>
                </c:pt>
                <c:pt idx="5">
                  <c:v>Condiments</c:v>
                </c:pt>
                <c:pt idx="6">
                  <c:v>Meat/Poultry</c:v>
                </c:pt>
                <c:pt idx="7">
                  <c:v>Confections</c:v>
                </c:pt>
              </c:strCache>
            </c:strRef>
          </c:cat>
          <c:val>
            <c:numRef>
              <c:f>'Supply Chain Analysis'!$O$2:$O$9</c:f>
              <c:numCache>
                <c:formatCode>General</c:formatCode>
                <c:ptCount val="8"/>
                <c:pt idx="0">
                  <c:v>5594.5</c:v>
                </c:pt>
                <c:pt idx="1">
                  <c:v>12480.25</c:v>
                </c:pt>
                <c:pt idx="2">
                  <c:v>11271.2</c:v>
                </c:pt>
                <c:pt idx="3">
                  <c:v>13010.35</c:v>
                </c:pt>
                <c:pt idx="4">
                  <c:v>3549.35</c:v>
                </c:pt>
                <c:pt idx="5">
                  <c:v>11926.05</c:v>
                </c:pt>
                <c:pt idx="6">
                  <c:v>5729.45</c:v>
                </c:pt>
                <c:pt idx="7">
                  <c:v>10392.200000000001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E-4E86-AE0D-FA7060CB8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564208"/>
        <c:axId val="122570032"/>
      </c:barChart>
      <c:catAx>
        <c:axId val="12856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570032"/>
        <c:crosses val="autoZero"/>
        <c:auto val="1"/>
        <c:lblAlgn val="ctr"/>
        <c:lblOffset val="100"/>
        <c:noMultiLvlLbl val="0"/>
      </c:catAx>
      <c:valAx>
        <c:axId val="12257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856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Эффективность поставщиков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Доля просроченных заказов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'Shippers KPI'!$B$2:$B$4</c:f>
              <c:strCache>
                <c:ptCount val="3"/>
                <c:pt idx="0">
                  <c:v>United Package</c:v>
                </c:pt>
                <c:pt idx="1">
                  <c:v>Speedy Express</c:v>
                </c:pt>
                <c:pt idx="2">
                  <c:v>Federal Shipping</c:v>
                </c:pt>
              </c:strCache>
            </c:strRef>
          </c:cat>
          <c:val>
            <c:numRef>
              <c:f>'Shippers KPI'!$E$2:$E$4</c:f>
              <c:numCache>
                <c:formatCode>0.00%</c:formatCode>
                <c:ptCount val="3"/>
                <c:pt idx="0">
                  <c:v>4.9100000000000005E-2</c:v>
                </c:pt>
                <c:pt idx="1">
                  <c:v>4.82E-2</c:v>
                </c:pt>
                <c:pt idx="2">
                  <c:v>3.5299999999999998E-2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5-4946-947E-1E56DB15D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297104"/>
        <c:axId val="137296272"/>
      </c:barChart>
      <c:lineChart>
        <c:grouping val="standard"/>
        <c:varyColors val="0"/>
        <c:ser>
          <c:idx val="1"/>
          <c:order val="1"/>
          <c:tx>
            <c:v>Средняя стоимость перевозки</c:v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079618959450984E-2"/>
                  <c:y val="-3.18494353849734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05-4946-947E-1E56DB15D4FB}"/>
                </c:ext>
              </c:extLst>
            </c:dLbl>
            <c:dLbl>
              <c:idx val="1"/>
              <c:layout>
                <c:manualLayout>
                  <c:x val="-2.4001844551203307E-2"/>
                  <c:y val="3.4744838601789216E-2"/>
                </c:manualLayout>
              </c:layout>
              <c:tx>
                <c:rich>
                  <a:bodyPr/>
                  <a:lstStyle/>
                  <a:p>
                    <a:fld id="{1E67DA04-8CFE-42CA-B6D2-793F3D914344}" type="VALUE">
                      <a:rPr lang="en-US">
                        <a:solidFill>
                          <a:schemeClr val="bg1"/>
                        </a:solidFill>
                      </a:rPr>
                      <a:pPr/>
                      <a:t>[ЗНАЧЕНИЕ]</a:t>
                    </a:fld>
                    <a:endParaRPr lang="ru-RU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605-4946-947E-1E56DB15D4FB}"/>
                </c:ext>
              </c:extLst>
            </c:dLbl>
            <c:dLbl>
              <c:idx val="2"/>
              <c:layout>
                <c:manualLayout>
                  <c:x val="-3.1387027490035094E-2"/>
                  <c:y val="-3.76402418186050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05-4946-947E-1E56DB15D4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'Shippers KPI'!$B$2:$B$4</c:f>
              <c:strCache>
                <c:ptCount val="3"/>
                <c:pt idx="0">
                  <c:v>United Package</c:v>
                </c:pt>
                <c:pt idx="1">
                  <c:v>Speedy Express</c:v>
                </c:pt>
                <c:pt idx="2">
                  <c:v>Federal Shipping</c:v>
                </c:pt>
              </c:strCache>
            </c:strRef>
          </c:cat>
          <c:val>
            <c:numRef>
              <c:f>'Shippers KPI'!$F$2:$F$4</c:f>
              <c:numCache>
                <c:formatCode>General</c:formatCode>
                <c:ptCount val="3"/>
                <c:pt idx="0">
                  <c:v>86.64</c:v>
                </c:pt>
                <c:pt idx="1">
                  <c:v>65</c:v>
                </c:pt>
                <c:pt idx="2">
                  <c:v>80.44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05-4946-947E-1E56DB15D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118495"/>
        <c:axId val="2143117663"/>
      </c:lineChart>
      <c:catAx>
        <c:axId val="13729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296272"/>
        <c:crosses val="autoZero"/>
        <c:auto val="1"/>
        <c:lblAlgn val="ctr"/>
        <c:lblOffset val="100"/>
        <c:noMultiLvlLbl val="0"/>
      </c:catAx>
      <c:valAx>
        <c:axId val="13729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297104"/>
        <c:crosses val="autoZero"/>
        <c:crossBetween val="between"/>
      </c:valAx>
      <c:valAx>
        <c:axId val="21431176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43118495"/>
        <c:crosses val="max"/>
        <c:crossBetween val="between"/>
      </c:valAx>
      <c:catAx>
        <c:axId val="21431184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431176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Эффективность</a:t>
            </a:r>
            <a:r>
              <a:rPr lang="ru-RU" baseline="0"/>
              <a:t> персонала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FA1-451E-8FA0-07C06A711DB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FA1-451E-8FA0-07C06A711DB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FA1-451E-8FA0-07C06A711DBA}"/>
              </c:ext>
            </c:extLst>
          </c:dPt>
          <c:cat>
            <c:strRef>
              <c:f>'Employees KPI'!$B$2:$B$10</c:f>
              <c:strCache>
                <c:ptCount val="9"/>
                <c:pt idx="0">
                  <c:v>Margaret Peacock</c:v>
                </c:pt>
                <c:pt idx="1">
                  <c:v>Janet Leverling</c:v>
                </c:pt>
                <c:pt idx="2">
                  <c:v>Nancy Davolio</c:v>
                </c:pt>
                <c:pt idx="3">
                  <c:v>Andrew Fuller</c:v>
                </c:pt>
                <c:pt idx="4">
                  <c:v>Laura Callahan</c:v>
                </c:pt>
                <c:pt idx="5">
                  <c:v>Robert King</c:v>
                </c:pt>
                <c:pt idx="6">
                  <c:v>Anne Dodsworth</c:v>
                </c:pt>
                <c:pt idx="7">
                  <c:v>Michael Suyama</c:v>
                </c:pt>
                <c:pt idx="8">
                  <c:v>Steven Buchanan</c:v>
                </c:pt>
              </c:strCache>
            </c:strRef>
          </c:cat>
          <c:val>
            <c:numRef>
              <c:f>'Employees KPI'!$D$2:$D$10</c:f>
              <c:numCache>
                <c:formatCode>General</c:formatCode>
                <c:ptCount val="9"/>
                <c:pt idx="0">
                  <c:v>232890.85</c:v>
                </c:pt>
                <c:pt idx="1">
                  <c:v>202812.84</c:v>
                </c:pt>
                <c:pt idx="2">
                  <c:v>192107.6</c:v>
                </c:pt>
                <c:pt idx="3">
                  <c:v>166537.76</c:v>
                </c:pt>
                <c:pt idx="4">
                  <c:v>126862.28</c:v>
                </c:pt>
                <c:pt idx="5">
                  <c:v>124568.23</c:v>
                </c:pt>
                <c:pt idx="6">
                  <c:v>77308.070000000007</c:v>
                </c:pt>
                <c:pt idx="7">
                  <c:v>73913.13</c:v>
                </c:pt>
                <c:pt idx="8">
                  <c:v>68792.28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1-451E-8FA0-07C06A711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804160"/>
        <c:axId val="169800832"/>
      </c:barChart>
      <c:catAx>
        <c:axId val="169804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800832"/>
        <c:crosses val="autoZero"/>
        <c:auto val="1"/>
        <c:lblAlgn val="ctr"/>
        <c:lblOffset val="100"/>
        <c:noMultiLvlLbl val="0"/>
      </c:catAx>
      <c:valAx>
        <c:axId val="16980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80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604836</xdr:colOff>
      <xdr:row>0</xdr:row>
      <xdr:rowOff>4762</xdr:rowOff>
    </xdr:from>
    <xdr:to>
      <xdr:col>20</xdr:col>
      <xdr:colOff>9525</xdr:colOff>
      <xdr:row>24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39A8AA7-B12C-4B5E-8F6D-D2295126F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609599</xdr:colOff>
      <xdr:row>6</xdr:row>
      <xdr:rowOff>0</xdr:rowOff>
    </xdr:from>
    <xdr:to>
      <xdr:col>24</xdr:col>
      <xdr:colOff>200024</xdr:colOff>
      <xdr:row>39</xdr:row>
      <xdr:rowOff>80962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263257D-B294-4A5C-9A56-FB754FF36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40</xdr:row>
      <xdr:rowOff>9524</xdr:rowOff>
    </xdr:from>
    <xdr:to>
      <xdr:col>12</xdr:col>
      <xdr:colOff>495300</xdr:colOff>
      <xdr:row>61</xdr:row>
      <xdr:rowOff>23811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1FF3C4E-F313-49B2-8209-5B978AEEB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609599</xdr:colOff>
      <xdr:row>72</xdr:row>
      <xdr:rowOff>9525</xdr:rowOff>
    </xdr:from>
    <xdr:to>
      <xdr:col>15</xdr:col>
      <xdr:colOff>0</xdr:colOff>
      <xdr:row>94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087164F-0B1A-44E9-A5FF-9DEEB333B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610378</xdr:colOff>
      <xdr:row>12</xdr:row>
      <xdr:rowOff>0</xdr:rowOff>
    </xdr:from>
    <xdr:to>
      <xdr:col>15</xdr:col>
      <xdr:colOff>554006</xdr:colOff>
      <xdr:row>35</xdr:row>
      <xdr:rowOff>176115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6BF0181-AC96-40FE-B745-21EFE0539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3158</xdr:colOff>
      <xdr:row>12</xdr:row>
      <xdr:rowOff>1</xdr:rowOff>
    </xdr:from>
    <xdr:to>
      <xdr:col>23</xdr:col>
      <xdr:colOff>291582</xdr:colOff>
      <xdr:row>34</xdr:row>
      <xdr:rowOff>166396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F716620-32BE-41D7-B1FF-7E011A861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609598</xdr:colOff>
      <xdr:row>28</xdr:row>
      <xdr:rowOff>190499</xdr:rowOff>
    </xdr:from>
    <xdr:to>
      <xdr:col>13</xdr:col>
      <xdr:colOff>295275</xdr:colOff>
      <xdr:row>49</xdr:row>
      <xdr:rowOff>23812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EC0EF3C0-EB0E-4B6B-81B0-4DBEBEA72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9524</xdr:colOff>
      <xdr:row>10</xdr:row>
      <xdr:rowOff>0</xdr:rowOff>
    </xdr:from>
    <xdr:to>
      <xdr:col>15</xdr:col>
      <xdr:colOff>1276349</xdr:colOff>
      <xdr:row>30</xdr:row>
      <xdr:rowOff>61912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068FDE2-DAC2-4896-A19F-50E45E807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833437</xdr:colOff>
      <xdr:row>5</xdr:row>
      <xdr:rowOff>4761</xdr:rowOff>
    </xdr:from>
    <xdr:to>
      <xdr:col>6</xdr:col>
      <xdr:colOff>1409700</xdr:colOff>
      <xdr:row>28</xdr:row>
      <xdr:rowOff>9524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4941FD1A-50F5-4432-B1BB-5865B7207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990599</xdr:colOff>
      <xdr:row>11</xdr:row>
      <xdr:rowOff>0</xdr:rowOff>
    </xdr:from>
    <xdr:to>
      <xdr:col>6</xdr:col>
      <xdr:colOff>523875</xdr:colOff>
      <xdr:row>33</xdr:row>
      <xdr:rowOff>109537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EE06A69-E88A-4643-A33E-A9696B828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0.937403009259" createdVersion="7" refreshedVersion="7" minRefreshableVersion="3" recordCount="91" xr:uid="{99C37404-1F90-4183-B483-E11C46916740}">
  <cacheSource type="worksheet">
    <worksheetSource name="Таблица1"/>
  </cacheSource>
  <cacheFields count="10">
    <cacheField name="customer_id" numFmtId="0">
      <sharedItems/>
    </cacheField>
    <cacheField name="company_name" numFmtId="0">
      <sharedItems/>
    </cacheField>
    <cacheField name="rfm_customer_score" numFmtId="0">
      <sharedItems containsSemiMixedTypes="0" containsString="0" containsNumber="1" containsInteger="1" minValue="111" maxValue="444"/>
    </cacheField>
    <cacheField name="customer_category" numFmtId="0">
      <sharedItems count="8">
        <s v="VIP"/>
        <s v="Loyal"/>
        <s v="Promising"/>
        <s v="New"/>
        <s v="Needs attention"/>
        <s v="Hibernating"/>
        <s v="Lost"/>
        <s v="Cant lose them"/>
      </sharedItems>
    </cacheField>
    <cacheField name="recency" numFmtId="0">
      <sharedItems containsString="0" containsBlank="1" containsNumber="1" containsInteger="1" minValue="0" maxValue="657"/>
    </cacheField>
    <cacheField name="frequency" numFmtId="0">
      <sharedItems containsSemiMixedTypes="0" containsString="0" containsNumber="1" containsInteger="1" minValue="0" maxValue="31"/>
    </cacheField>
    <cacheField name="monetary" numFmtId="0">
      <sharedItems containsBlank="1"/>
    </cacheField>
    <cacheField name="recency_score" numFmtId="0">
      <sharedItems containsSemiMixedTypes="0" containsString="0" containsNumber="1" containsInteger="1" minValue="1" maxValue="4"/>
    </cacheField>
    <cacheField name="frequency_score" numFmtId="0">
      <sharedItems containsSemiMixedTypes="0" containsString="0" containsNumber="1" containsInteger="1" minValue="1" maxValue="4"/>
    </cacheField>
    <cacheField name="monetary_score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0.989662384258" createdVersion="7" refreshedVersion="7" minRefreshableVersion="3" recordCount="77" xr:uid="{7E16E460-B137-4C17-86A9-CD271651236F}">
  <cacheSource type="worksheet">
    <worksheetSource name="Таблица3"/>
  </cacheSource>
  <cacheFields count="6">
    <cacheField name="product_id" numFmtId="0">
      <sharedItems containsSemiMixedTypes="0" containsString="0" containsNumber="1" containsInteger="1" minValue="1" maxValue="77"/>
    </cacheField>
    <cacheField name="product_name" numFmtId="0">
      <sharedItems count="77">
        <s v="Côte de Blaye"/>
        <s v="Thüringer Rostbratwurst"/>
        <s v="Raclette Courdavault"/>
        <s v="Tarte au sucre"/>
        <s v="Camembert Pierrot"/>
        <s v="Gnocchi di nonna Alice"/>
        <s v="Manjimup Dried Apples"/>
        <s v="Alice Mutton"/>
        <s v="Carnarvon Tigers"/>
        <s v="Rössle Sauerkraut"/>
        <s v="Mozzarella di Giovanni"/>
        <s v="Ipoh Coffee"/>
        <s v="Sir Rodney's Marmalade"/>
        <s v="Uncle Bob's Organic Dried Pears"/>
        <s v="Wimmers gute Semmelknödel"/>
        <s v="Gudbrandsdalsost"/>
        <s v="Ikura"/>
        <s v="Perth Pasties"/>
        <s v="Gumbär Gummibärchen"/>
        <s v="Flotemysost"/>
        <s v="Boston Crab Meat"/>
        <s v="Pâté chinois"/>
        <s v="Pavlova"/>
        <s v="Vegie-spread"/>
        <s v="Chang"/>
        <s v="Lakkalikööri"/>
        <s v="Schoggi Schokolade"/>
        <s v="Gorgonzola Telino"/>
        <s v="Sirop d'érable"/>
        <s v="Louisiana Fiery Hot Pepper Sauce"/>
        <s v="Steeleye Stout"/>
        <s v="Inlagd Sill"/>
        <s v="Nord-Ost Matjeshering"/>
        <s v="Queso Cabrales"/>
        <s v="Chai"/>
        <s v="Northwoods Cranberry Sauce"/>
        <s v="Chartreuse verte"/>
        <s v="Queso Manchego La Pastora"/>
        <s v="Outback Lager"/>
        <s v="Gula Malacca"/>
        <s v="Maxilaku"/>
        <s v="Original Frankfurter grüne Soße"/>
        <s v="Sir Rodney's Scones"/>
        <s v="Scottish Longbreads"/>
        <s v="Jack's New England Clam Chowder"/>
        <s v="Singaporean Hokkien Fried Mee"/>
        <s v="Chef Anton's Cajun Seasoning"/>
        <s v="Mascarpone Fabioli"/>
        <s v="Rhönbräu Klosterbier"/>
        <s v="Tofu"/>
        <s v="Ravioli Angelo"/>
        <s v="Mishi Kobe Niku"/>
        <s v="Grandma's Boysenberry Spread"/>
        <s v="Gustaf's Knäckebröd"/>
        <s v="Sasquatch Ale"/>
        <s v="Spegesild"/>
        <s v="Escargots de Bourgogne"/>
        <s v="Teatime Chocolate Biscuits"/>
        <s v="Chef Anton's Gumbo Mix"/>
        <s v="Konbu"/>
        <s v="Tourtière"/>
        <s v="Tunnbröd"/>
        <s v="Guaraná Fantástica"/>
        <s v="Rogede sild"/>
        <s v="Röd Kaviar"/>
        <s v="Zaanse koeken"/>
        <s v="NuNuCa Nuß-Nougat-Creme"/>
        <s v="Valkoinen suklaa"/>
        <s v="Louisiana Hot Spiced Okra"/>
        <s v="Filo Mix"/>
        <s v="Aniseed Syrup"/>
        <s v="Gravad lax"/>
        <s v="Longlife Tofu"/>
        <s v="Laughing Lumberjack Lager"/>
        <s v="Genen Shouyu"/>
        <s v="Geitost"/>
        <s v="Chocolade"/>
      </sharedItems>
    </cacheField>
    <cacheField name="cumulative_share" numFmtId="10">
      <sharedItems containsSemiMixedTypes="0" containsString="0" containsNumber="1" minValue="0.11169999999999999" maxValue="0.99950000000000006"/>
    </cacheField>
    <cacheField name="category" numFmtId="0">
      <sharedItems count="3">
        <s v="A"/>
        <s v="B"/>
        <s v="C"/>
      </sharedItems>
    </cacheField>
    <cacheField name="product_revenue" numFmtId="0">
      <sharedItems count="77">
        <s v="12788.10"/>
        <s v="16355.96"/>
        <s v="3044.00"/>
        <s v="8567.90"/>
        <s v="5347.20"/>
        <s v="7137.00"/>
        <s v="22044.30"/>
        <s v="12772.00"/>
        <s v="7226.50"/>
        <s v="20867.34"/>
        <s v="12901.77"/>
        <s v="12257.66"/>
        <s v="4960.44"/>
        <s v="7991.49"/>
        <s v="1784.82"/>
        <s v="17215.78"/>
        <s v="32698.38"/>
        <s v="29171.87"/>
        <s v="5862.62"/>
        <s v="22563.36"/>
        <s v="9104.00"/>
        <s v="7122.36"/>
        <s v="4601.70"/>
        <s v="4504.36"/>
        <s v="3704.40"/>
        <s v="19849.14"/>
        <s v="15099.88"/>
        <s v="25696.64"/>
        <s v="80368.67"/>
        <s v="13424.20"/>
        <s v="14920.87"/>
        <s v="8404.16"/>
        <s v="1648.12"/>
        <s v="6350.40"/>
        <s v="13644.00"/>
        <s v="13458.46"/>
        <s v="2688.40"/>
        <s v="141396.74"/>
        <s v="12294.54"/>
        <s v="17910.63"/>
        <s v="8680.34"/>
        <s v="8575.00"/>
        <s v="23526.70"/>
        <s v="9915.95"/>
        <s v="4338.17"/>
        <s v="5883.00"/>
        <s v="3958.08"/>
        <s v="1368.71"/>
        <s v="9244.60"/>
        <s v="3437.69"/>
        <s v="41819.65"/>
        <s v="3232.95"/>
        <s v="20574.17"/>
        <s v="4728.24"/>
        <s v="17426.40"/>
        <s v="42593.06"/>
        <s v="7661.55"/>
        <s v="5881.68"/>
        <s v="71155.70"/>
        <s v="46825.48"/>
        <s v="14352.60"/>
        <s v="47234.97"/>
        <s v="16701.10"/>
        <s v="21957.97"/>
        <s v="13869.89"/>
        <s v="3383.00"/>
        <s v="2396.80"/>
        <s v="8714.00"/>
        <s v="21942.36"/>
        <s v="10672.65"/>
        <s v="19551.03"/>
        <s v="24900.13"/>
        <s v="3997.20"/>
        <s v="2432.50"/>
        <s v="8177.49"/>
        <s v="15760.44"/>
        <s v="9171.63"/>
      </sharedItems>
    </cacheField>
    <cacheField name="total_revenu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1.79631041667" createdVersion="7" refreshedVersion="7" minRefreshableVersion="3" recordCount="183" xr:uid="{40EB33F3-F155-4E5B-9529-57DFE2121B2B}">
  <cacheSource type="worksheet">
    <worksheetSource name="Таблица2"/>
  </cacheSource>
  <cacheFields count="6">
    <cacheField name="cohort" numFmtId="14">
      <sharedItems containsSemiMixedTypes="0" containsNonDate="0" containsDate="1" containsString="0" minDate="1996-07-01T00:00:00" maxDate="1998-01-02T00:00:00" count="17"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1-01T00:00:00"/>
        <d v="1998-01-01T00:00:00"/>
      </sharedItems>
    </cacheField>
    <cacheField name="month_number" numFmtId="0">
      <sharedItems containsSemiMixedTypes="0" containsString="0" containsNumber="1" containsInteger="1" minValue="0" maxValue="22" count="2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</sharedItems>
    </cacheField>
    <cacheField name="cohort_size" numFmtId="0">
      <sharedItems containsSemiMixedTypes="0" containsString="0" containsNumber="1" containsInteger="1" minValue="1" maxValue="20"/>
    </cacheField>
    <cacheField name="month_revenue" numFmtId="0">
      <sharedItems containsSemiMixedTypes="0" containsString="0" containsNumber="1" minValue="12.5" maxValue="52167.29"/>
    </cacheField>
    <cacheField name="cumulative_revenue" numFmtId="0">
      <sharedItems containsSemiMixedTypes="0" containsString="0" containsNumber="1" minValue="52.35" maxValue="427394.1"/>
    </cacheField>
    <cacheField name="ltv" numFmtId="0">
      <sharedItems containsSemiMixedTypes="0" containsString="0" containsNumber="1" minValue="52.35" maxValue="24763.36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HILAA"/>
    <s v="HILARION-Abastos"/>
    <n v="444"/>
    <x v="0"/>
    <n v="8"/>
    <n v="18"/>
    <s v="22768.76"/>
    <n v="4"/>
    <n v="4"/>
    <n v="4"/>
  </r>
  <r>
    <s v="HUNGO"/>
    <s v="Hungry Owl All-Night Grocers"/>
    <n v="444"/>
    <x v="0"/>
    <n v="6"/>
    <n v="19"/>
    <s v="49979.91"/>
    <n v="4"/>
    <n v="4"/>
    <n v="4"/>
  </r>
  <r>
    <s v="SAVEA"/>
    <s v="Save-a-lot Markets"/>
    <n v="444"/>
    <x v="0"/>
    <n v="5"/>
    <n v="31"/>
    <s v="104361.95"/>
    <n v="4"/>
    <n v="4"/>
    <n v="4"/>
  </r>
  <r>
    <s v="WHITC"/>
    <s v="White Clover Markets"/>
    <n v="444"/>
    <x v="0"/>
    <n v="5"/>
    <n v="14"/>
    <s v="27363.60"/>
    <n v="4"/>
    <n v="4"/>
    <n v="4"/>
  </r>
  <r>
    <s v="QUEEN"/>
    <s v="Queen Cozinha"/>
    <n v="444"/>
    <x v="0"/>
    <n v="2"/>
    <n v="13"/>
    <s v="25717.50"/>
    <n v="4"/>
    <n v="4"/>
    <n v="4"/>
  </r>
  <r>
    <s v="LEHMS"/>
    <s v="Lehmanns Marktstand"/>
    <n v="444"/>
    <x v="0"/>
    <n v="1"/>
    <n v="15"/>
    <s v="19261.41"/>
    <n v="4"/>
    <n v="4"/>
    <n v="4"/>
  </r>
  <r>
    <s v="ERNSH"/>
    <s v="Ernst Handel"/>
    <n v="444"/>
    <x v="0"/>
    <n v="1"/>
    <n v="30"/>
    <s v="104874.98"/>
    <n v="4"/>
    <n v="4"/>
    <n v="4"/>
  </r>
  <r>
    <s v="BONAP"/>
    <s v="Bon app'"/>
    <n v="444"/>
    <x v="0"/>
    <n v="0"/>
    <n v="17"/>
    <s v="21963.25"/>
    <n v="4"/>
    <n v="4"/>
    <n v="4"/>
  </r>
  <r>
    <s v="RATTC"/>
    <s v="Rattlesnake Canyon Grocery"/>
    <n v="444"/>
    <x v="0"/>
    <n v="0"/>
    <n v="18"/>
    <s v="51097.80"/>
    <n v="4"/>
    <n v="4"/>
    <n v="4"/>
  </r>
  <r>
    <s v="LILAS"/>
    <s v="LILA-Supermercado"/>
    <n v="443"/>
    <x v="0"/>
    <n v="1"/>
    <n v="14"/>
    <s v="16076.60"/>
    <n v="4"/>
    <n v="4"/>
    <n v="3"/>
  </r>
  <r>
    <s v="RICSU"/>
    <s v="Richter Supermarkt"/>
    <n v="434"/>
    <x v="0"/>
    <n v="0"/>
    <n v="10"/>
    <s v="19343.78"/>
    <n v="4"/>
    <n v="3"/>
    <n v="4"/>
  </r>
  <r>
    <s v="RICAR"/>
    <s v="Ricardo Adocicados"/>
    <n v="433"/>
    <x v="0"/>
    <n v="7"/>
    <n v="11"/>
    <s v="12450.80"/>
    <n v="4"/>
    <n v="3"/>
    <n v="3"/>
  </r>
  <r>
    <s v="GREAL"/>
    <s v="Great Lakes Food Market"/>
    <n v="433"/>
    <x v="0"/>
    <n v="6"/>
    <n v="11"/>
    <s v="18507.45"/>
    <n v="4"/>
    <n v="3"/>
    <n v="3"/>
  </r>
  <r>
    <s v="TORTU"/>
    <s v="Tortuga Restaurante"/>
    <n v="433"/>
    <x v="0"/>
    <n v="2"/>
    <n v="10"/>
    <s v="10812.15"/>
    <n v="4"/>
    <n v="3"/>
    <n v="3"/>
  </r>
  <r>
    <s v="QUICK"/>
    <s v="QUICK-Stop"/>
    <n v="344"/>
    <x v="0"/>
    <n v="22"/>
    <n v="28"/>
    <s v="110277.31"/>
    <n v="3"/>
    <n v="4"/>
    <n v="4"/>
  </r>
  <r>
    <s v="KOENE"/>
    <s v="Königlich Essen"/>
    <n v="344"/>
    <x v="0"/>
    <n v="20"/>
    <n v="14"/>
    <s v="30908.38"/>
    <n v="3"/>
    <n v="4"/>
    <n v="4"/>
  </r>
  <r>
    <s v="SUPRD"/>
    <s v="Suprêmes délices"/>
    <n v="344"/>
    <x v="0"/>
    <n v="15"/>
    <n v="12"/>
    <s v="24088.78"/>
    <n v="3"/>
    <n v="4"/>
    <n v="4"/>
  </r>
  <r>
    <s v="BOTTM"/>
    <s v="Bottom-Dollar Markets"/>
    <n v="344"/>
    <x v="0"/>
    <n v="12"/>
    <n v="14"/>
    <s v="20801.60"/>
    <n v="3"/>
    <n v="4"/>
    <n v="4"/>
  </r>
  <r>
    <s v="HANAR"/>
    <s v="Hanari Carnes"/>
    <n v="344"/>
    <x v="0"/>
    <n v="9"/>
    <n v="14"/>
    <s v="32841.37"/>
    <n v="3"/>
    <n v="4"/>
    <n v="4"/>
  </r>
  <r>
    <s v="FOLKO"/>
    <s v="Folk och fä HB"/>
    <n v="344"/>
    <x v="0"/>
    <n v="9"/>
    <n v="19"/>
    <s v="29567.56"/>
    <n v="3"/>
    <n v="4"/>
    <n v="4"/>
  </r>
  <r>
    <s v="WARTH"/>
    <s v="Wartian Herkku"/>
    <n v="343"/>
    <x v="0"/>
    <n v="21"/>
    <n v="15"/>
    <s v="15648.70"/>
    <n v="3"/>
    <n v="4"/>
    <n v="3"/>
  </r>
  <r>
    <s v="LAMAI"/>
    <s v="La maison d'Asie"/>
    <n v="343"/>
    <x v="0"/>
    <n v="9"/>
    <n v="14"/>
    <s v="9328.20"/>
    <n v="3"/>
    <n v="4"/>
    <n v="3"/>
  </r>
  <r>
    <s v="PICCO"/>
    <s v="Piccolo und mehr"/>
    <n v="334"/>
    <x v="0"/>
    <n v="9"/>
    <n v="10"/>
    <s v="23128.86"/>
    <n v="3"/>
    <n v="3"/>
    <n v="4"/>
  </r>
  <r>
    <s v="OTTIK"/>
    <s v="Ottilies Käseladen"/>
    <n v="333"/>
    <x v="0"/>
    <n v="22"/>
    <n v="10"/>
    <s v="12496.20"/>
    <n v="3"/>
    <n v="3"/>
    <n v="3"/>
  </r>
  <r>
    <s v="OLDWO"/>
    <s v="Old World Delicatessen"/>
    <n v="333"/>
    <x v="0"/>
    <n v="16"/>
    <n v="10"/>
    <s v="15177.46"/>
    <n v="3"/>
    <n v="3"/>
    <n v="3"/>
  </r>
  <r>
    <s v="GODOS"/>
    <s v="Godos Cocina Típica"/>
    <n v="333"/>
    <x v="0"/>
    <n v="15"/>
    <n v="10"/>
    <s v="11446.36"/>
    <n v="3"/>
    <n v="3"/>
    <n v="3"/>
  </r>
  <r>
    <s v="LINOD"/>
    <s v="LINO-Delicateses"/>
    <n v="333"/>
    <x v="0"/>
    <n v="15"/>
    <n v="12"/>
    <s v="16476.56"/>
    <n v="3"/>
    <n v="3"/>
    <n v="3"/>
  </r>
  <r>
    <s v="CHOPS"/>
    <s v="Chop-suey Chinese"/>
    <n v="333"/>
    <x v="0"/>
    <n v="14"/>
    <n v="8"/>
    <s v="12348.88"/>
    <n v="3"/>
    <n v="3"/>
    <n v="3"/>
  </r>
  <r>
    <s v="WANDK"/>
    <s v="Die Wandernde Kuh"/>
    <n v="333"/>
    <x v="0"/>
    <n v="13"/>
    <n v="10"/>
    <s v="9588.42"/>
    <n v="3"/>
    <n v="3"/>
    <n v="3"/>
  </r>
  <r>
    <s v="GOURL"/>
    <s v="Gourmet Lanchonetes"/>
    <n v="333"/>
    <x v="0"/>
    <n v="12"/>
    <n v="9"/>
    <s v="8414.13"/>
    <n v="3"/>
    <n v="3"/>
    <n v="3"/>
  </r>
  <r>
    <s v="REGGC"/>
    <s v="Reggiani Caseifici"/>
    <n v="432"/>
    <x v="1"/>
    <n v="6"/>
    <n v="12"/>
    <s v="7048.24"/>
    <n v="4"/>
    <n v="3"/>
    <n v="2"/>
  </r>
  <r>
    <s v="BSBEV"/>
    <s v="B's Beverages"/>
    <n v="332"/>
    <x v="1"/>
    <n v="22"/>
    <n v="10"/>
    <s v="6089.90"/>
    <n v="3"/>
    <n v="3"/>
    <n v="2"/>
  </r>
  <r>
    <s v="SIMOB"/>
    <s v="Simons bistro"/>
    <n v="423"/>
    <x v="2"/>
    <n v="0"/>
    <n v="7"/>
    <s v="16817.10"/>
    <n v="4"/>
    <n v="2"/>
    <n v="3"/>
  </r>
  <r>
    <s v="DRACD"/>
    <s v="Drachenblut Delikatessen"/>
    <n v="422"/>
    <x v="2"/>
    <n v="2"/>
    <n v="6"/>
    <s v="3763.21"/>
    <n v="4"/>
    <n v="2"/>
    <n v="2"/>
  </r>
  <r>
    <s v="PERIC"/>
    <s v="Pericles Comidas clásicas"/>
    <n v="422"/>
    <x v="2"/>
    <n v="1"/>
    <n v="6"/>
    <s v="4242.20"/>
    <n v="4"/>
    <n v="2"/>
    <n v="2"/>
  </r>
  <r>
    <s v="CACTU"/>
    <s v="Cactus Comidas para llevar"/>
    <n v="421"/>
    <x v="2"/>
    <n v="8"/>
    <n v="6"/>
    <s v="1814.80"/>
    <n v="4"/>
    <n v="2"/>
    <n v="1"/>
  </r>
  <r>
    <s v="BLAUS"/>
    <s v="Blauer See Delikatessen"/>
    <n v="421"/>
    <x v="2"/>
    <n v="7"/>
    <n v="7"/>
    <s v="3239.80"/>
    <n v="4"/>
    <n v="2"/>
    <n v="1"/>
  </r>
  <r>
    <s v="FRANS"/>
    <s v="Franchi S.p.A."/>
    <n v="421"/>
    <x v="2"/>
    <n v="6"/>
    <n v="6"/>
    <s v="1545.70"/>
    <n v="4"/>
    <n v="2"/>
    <n v="1"/>
  </r>
  <r>
    <s v="EASTC"/>
    <s v="Eastern Connection"/>
    <n v="323"/>
    <x v="2"/>
    <n v="8"/>
    <n v="8"/>
    <s v="14761.03"/>
    <n v="3"/>
    <n v="2"/>
    <n v="3"/>
  </r>
  <r>
    <s v="LONEP"/>
    <s v="Lonesome Pine Restaurant"/>
    <n v="322"/>
    <x v="2"/>
    <n v="23"/>
    <n v="8"/>
    <s v="4258.60"/>
    <n v="3"/>
    <n v="2"/>
    <n v="2"/>
  </r>
  <r>
    <s v="COMMI"/>
    <s v="Comércio Mineiro"/>
    <n v="322"/>
    <x v="2"/>
    <n v="14"/>
    <n v="5"/>
    <s v="3810.75"/>
    <n v="3"/>
    <n v="2"/>
    <n v="2"/>
  </r>
  <r>
    <s v="WOLZA"/>
    <s v="Wolski  Zajazd"/>
    <n v="322"/>
    <x v="2"/>
    <n v="13"/>
    <n v="7"/>
    <s v="3531.95"/>
    <n v="3"/>
    <n v="2"/>
    <n v="2"/>
  </r>
  <r>
    <s v="RANCH"/>
    <s v="Rancho grande"/>
    <n v="321"/>
    <x v="2"/>
    <n v="23"/>
    <n v="5"/>
    <s v="2844.10"/>
    <n v="3"/>
    <n v="2"/>
    <n v="1"/>
  </r>
  <r>
    <s v="NORTS"/>
    <s v="North/South"/>
    <n v="411"/>
    <x v="3"/>
    <n v="7"/>
    <n v="3"/>
    <s v="649.00"/>
    <n v="4"/>
    <n v="1"/>
    <n v="1"/>
  </r>
  <r>
    <s v="SPECD"/>
    <s v="Spécialités du monde"/>
    <n v="311"/>
    <x v="3"/>
    <n v="14"/>
    <n v="4"/>
    <s v="2423.35"/>
    <n v="3"/>
    <n v="1"/>
    <n v="1"/>
  </r>
  <r>
    <s v="FRANK"/>
    <s v="Frankenversand"/>
    <n v="244"/>
    <x v="4"/>
    <n v="27"/>
    <n v="15"/>
    <s v="26656.56"/>
    <n v="2"/>
    <n v="4"/>
    <n v="4"/>
  </r>
  <r>
    <s v="AROUT"/>
    <s v="Around the Horn"/>
    <n v="243"/>
    <x v="4"/>
    <n v="26"/>
    <n v="13"/>
    <s v="13390.65"/>
    <n v="2"/>
    <n v="4"/>
    <n v="3"/>
  </r>
  <r>
    <s v="SPLIR"/>
    <s v="Split Rail Beer &amp; Ale"/>
    <n v="233"/>
    <x v="4"/>
    <n v="42"/>
    <n v="9"/>
    <s v="11441.63"/>
    <n v="2"/>
    <n v="3"/>
    <n v="3"/>
  </r>
  <r>
    <s v="VAFFE"/>
    <s v="Vaffeljernet"/>
    <n v="233"/>
    <x v="4"/>
    <n v="34"/>
    <n v="11"/>
    <s v="15843.92"/>
    <n v="2"/>
    <n v="3"/>
    <n v="3"/>
  </r>
  <r>
    <s v="ISLAT"/>
    <s v="Island Trading"/>
    <n v="232"/>
    <x v="4"/>
    <n v="61"/>
    <n v="10"/>
    <s v="6146.30"/>
    <n v="2"/>
    <n v="3"/>
    <n v="2"/>
  </r>
  <r>
    <s v="WELLI"/>
    <s v="Wellington Importadora"/>
    <n v="232"/>
    <x v="4"/>
    <n v="58"/>
    <n v="9"/>
    <s v="6068.20"/>
    <n v="2"/>
    <n v="3"/>
    <n v="2"/>
  </r>
  <r>
    <s v="MAGAA"/>
    <s v="Magazzini Alimentari Riuniti"/>
    <n v="232"/>
    <x v="4"/>
    <n v="51"/>
    <n v="10"/>
    <s v="7176.21"/>
    <n v="2"/>
    <n v="3"/>
    <n v="2"/>
  </r>
  <r>
    <s v="QUEDE"/>
    <s v="Que Delícia"/>
    <n v="232"/>
    <x v="4"/>
    <n v="36"/>
    <n v="9"/>
    <s v="6664.81"/>
    <n v="2"/>
    <n v="3"/>
    <n v="2"/>
  </r>
  <r>
    <s v="MAISD"/>
    <s v="Maison Dewey"/>
    <n v="223"/>
    <x v="4"/>
    <n v="29"/>
    <n v="7"/>
    <s v="9736.08"/>
    <n v="2"/>
    <n v="2"/>
    <n v="3"/>
  </r>
  <r>
    <s v="MORGK"/>
    <s v="Morgenstern Gesundkost"/>
    <n v="222"/>
    <x v="4"/>
    <n v="55"/>
    <n v="5"/>
    <s v="5042.20"/>
    <n v="2"/>
    <n v="2"/>
    <n v="2"/>
  </r>
  <r>
    <s v="FURIB"/>
    <s v="Furia Bacalhau e Frutos do Mar"/>
    <n v="222"/>
    <x v="4"/>
    <n v="48"/>
    <n v="8"/>
    <s v="6427.42"/>
    <n v="2"/>
    <n v="2"/>
    <n v="2"/>
  </r>
  <r>
    <s v="TOMSP"/>
    <s v="Toms Spezialitäten"/>
    <n v="222"/>
    <x v="4"/>
    <n v="44"/>
    <n v="6"/>
    <s v="4778.14"/>
    <n v="2"/>
    <n v="2"/>
    <n v="2"/>
  </r>
  <r>
    <s v="ALFKI"/>
    <s v="Alfreds Futterkiste"/>
    <n v="222"/>
    <x v="4"/>
    <n v="27"/>
    <n v="6"/>
    <s v="4273.00"/>
    <n v="2"/>
    <n v="2"/>
    <n v="2"/>
  </r>
  <r>
    <s v="SANTG"/>
    <s v="Santé Gourmet"/>
    <n v="222"/>
    <x v="4"/>
    <n v="26"/>
    <n v="6"/>
    <s v="5735.15"/>
    <n v="2"/>
    <n v="2"/>
    <n v="2"/>
  </r>
  <r>
    <s v="WILMK"/>
    <s v="Wilman Kala"/>
    <n v="221"/>
    <x v="4"/>
    <n v="29"/>
    <n v="7"/>
    <s v="3161.35"/>
    <n v="2"/>
    <n v="2"/>
    <n v="1"/>
  </r>
  <r>
    <s v="BOLID"/>
    <s v="Bólido Comidas preparadas"/>
    <n v="212"/>
    <x v="5"/>
    <n v="43"/>
    <n v="3"/>
    <s v="4232.85"/>
    <n v="2"/>
    <n v="1"/>
    <n v="2"/>
  </r>
  <r>
    <s v="OCEAN"/>
    <s v="Océano Atlántico Ltda."/>
    <n v="212"/>
    <x v="5"/>
    <n v="37"/>
    <n v="5"/>
    <s v="3460.20"/>
    <n v="2"/>
    <n v="1"/>
    <n v="2"/>
  </r>
  <r>
    <s v="THEBI"/>
    <s v="The Big Cheese"/>
    <n v="212"/>
    <x v="5"/>
    <n v="35"/>
    <n v="4"/>
    <s v="3361.00"/>
    <n v="2"/>
    <n v="1"/>
    <n v="2"/>
  </r>
  <r>
    <s v="PRINI"/>
    <s v="Princesa Isabel Vinhos"/>
    <n v="212"/>
    <x v="5"/>
    <n v="28"/>
    <n v="5"/>
    <s v="5044.94"/>
    <n v="2"/>
    <n v="1"/>
    <n v="2"/>
  </r>
  <r>
    <s v="LACOR"/>
    <s v="La corne d'abondance"/>
    <n v="211"/>
    <x v="5"/>
    <n v="43"/>
    <n v="4"/>
    <s v="1992.05"/>
    <n v="2"/>
    <n v="1"/>
    <n v="1"/>
  </r>
  <r>
    <s v="FRANR"/>
    <s v="France restauration"/>
    <n v="211"/>
    <x v="5"/>
    <n v="43"/>
    <n v="3"/>
    <s v="3172.16"/>
    <n v="2"/>
    <n v="1"/>
    <n v="1"/>
  </r>
  <r>
    <s v="THECR"/>
    <s v="The Cracker Box"/>
    <n v="211"/>
    <x v="5"/>
    <n v="30"/>
    <n v="3"/>
    <s v="1947.24"/>
    <n v="2"/>
    <n v="1"/>
    <n v="1"/>
  </r>
  <r>
    <s v="ROMEY"/>
    <s v="Romero y tomillo"/>
    <n v="211"/>
    <x v="5"/>
    <n v="27"/>
    <n v="5"/>
    <s v="1467.29"/>
    <n v="2"/>
    <n v="1"/>
    <n v="1"/>
  </r>
  <r>
    <s v="FOLIG"/>
    <s v="Folies gourmandes"/>
    <n v="123"/>
    <x v="5"/>
    <n v="135"/>
    <n v="5"/>
    <s v="11666.90"/>
    <n v="1"/>
    <n v="2"/>
    <n v="3"/>
  </r>
  <r>
    <s v="FAMIA"/>
    <s v="Familia Arquibaldo"/>
    <n v="122"/>
    <x v="5"/>
    <n v="187"/>
    <n v="7"/>
    <s v="4107.55"/>
    <n v="1"/>
    <n v="2"/>
    <n v="2"/>
  </r>
  <r>
    <s v="TRADH"/>
    <s v="Tradição Hipermercados"/>
    <n v="122"/>
    <x v="5"/>
    <n v="107"/>
    <n v="6"/>
    <s v="6850.66"/>
    <n v="1"/>
    <n v="2"/>
    <n v="2"/>
  </r>
  <r>
    <s v="ANTON"/>
    <s v="Antonio Moreno Taquería"/>
    <n v="122"/>
    <x v="5"/>
    <n v="98"/>
    <n v="7"/>
    <s v="7023.98"/>
    <n v="1"/>
    <n v="2"/>
    <n v="2"/>
  </r>
  <r>
    <s v="HUNGC"/>
    <s v="Hungry Coyote Import Store"/>
    <n v="121"/>
    <x v="5"/>
    <n v="240"/>
    <n v="5"/>
    <s v="3063.20"/>
    <n v="1"/>
    <n v="2"/>
    <n v="1"/>
  </r>
  <r>
    <s v="FISSA"/>
    <s v="FISSA Fabrica Inter. Salchichas S.A."/>
    <n v="114"/>
    <x v="5"/>
    <m/>
    <n v="0"/>
    <m/>
    <n v="1"/>
    <n v="1"/>
    <n v="4"/>
  </r>
  <r>
    <s v="PARIS"/>
    <s v="Paris spécialités"/>
    <n v="114"/>
    <x v="5"/>
    <m/>
    <n v="0"/>
    <m/>
    <n v="1"/>
    <n v="1"/>
    <n v="4"/>
  </r>
  <r>
    <s v="CENTC"/>
    <s v="Centro comercial Moctezuma"/>
    <n v="111"/>
    <x v="6"/>
    <n v="657"/>
    <n v="1"/>
    <s v="100.80"/>
    <n v="1"/>
    <n v="1"/>
    <n v="1"/>
  </r>
  <r>
    <s v="LAZYK"/>
    <s v="Lazy K Kountry Store"/>
    <n v="111"/>
    <x v="6"/>
    <n v="349"/>
    <n v="2"/>
    <s v="357.00"/>
    <n v="1"/>
    <n v="1"/>
    <n v="1"/>
  </r>
  <r>
    <s v="VINET"/>
    <s v="Vins et alcools Chevalier"/>
    <n v="111"/>
    <x v="6"/>
    <n v="175"/>
    <n v="5"/>
    <s v="1480.00"/>
    <n v="1"/>
    <n v="1"/>
    <n v="1"/>
  </r>
  <r>
    <s v="GROSR"/>
    <s v="GROSELLA-Restaurante"/>
    <n v="111"/>
    <x v="6"/>
    <n v="139"/>
    <n v="2"/>
    <s v="1488.70"/>
    <n v="1"/>
    <n v="1"/>
    <n v="1"/>
  </r>
  <r>
    <s v="LAUGB"/>
    <s v="Laughing Bacchus Wine Cellars"/>
    <n v="111"/>
    <x v="6"/>
    <n v="125"/>
    <n v="3"/>
    <s v="522.50"/>
    <n v="1"/>
    <n v="1"/>
    <n v="1"/>
  </r>
  <r>
    <s v="TRAIH"/>
    <s v="Trail's Head Gourmet Provisioners"/>
    <n v="111"/>
    <x v="6"/>
    <n v="118"/>
    <n v="3"/>
    <s v="1571.20"/>
    <n v="1"/>
    <n v="1"/>
    <n v="1"/>
  </r>
  <r>
    <s v="CONSH"/>
    <s v="Consolidated Holdings"/>
    <n v="111"/>
    <x v="6"/>
    <n v="103"/>
    <n v="3"/>
    <s v="1719.10"/>
    <n v="1"/>
    <n v="1"/>
    <n v="1"/>
  </r>
  <r>
    <s v="LETSS"/>
    <s v="Let's Stop N Shop"/>
    <n v="111"/>
    <x v="6"/>
    <n v="83"/>
    <n v="4"/>
    <s v="3076.47"/>
    <n v="1"/>
    <n v="1"/>
    <n v="1"/>
  </r>
  <r>
    <s v="DUMON"/>
    <s v="Du monde entier"/>
    <n v="111"/>
    <x v="6"/>
    <n v="79"/>
    <n v="4"/>
    <s v="1615.90"/>
    <n v="1"/>
    <n v="1"/>
    <n v="1"/>
  </r>
  <r>
    <s v="ANATR"/>
    <s v="Ana Trujillo Emparedados y helados"/>
    <n v="111"/>
    <x v="6"/>
    <n v="63"/>
    <n v="4"/>
    <s v="1402.95"/>
    <n v="1"/>
    <n v="1"/>
    <n v="1"/>
  </r>
  <r>
    <s v="GALED"/>
    <s v="Galería del gastrónomo"/>
    <n v="111"/>
    <x v="6"/>
    <n v="62"/>
    <n v="5"/>
    <s v="836.70"/>
    <n v="1"/>
    <n v="1"/>
    <n v="1"/>
  </r>
  <r>
    <s v="MEREP"/>
    <s v="Mère Paillarde"/>
    <n v="144"/>
    <x v="7"/>
    <n v="188"/>
    <n v="13"/>
    <s v="28872.19"/>
    <n v="1"/>
    <n v="4"/>
    <n v="4"/>
  </r>
  <r>
    <s v="BERGS"/>
    <s v="Berglunds snabbköp"/>
    <n v="144"/>
    <x v="7"/>
    <n v="63"/>
    <n v="18"/>
    <s v="24927.58"/>
    <n v="1"/>
    <n v="4"/>
    <n v="4"/>
  </r>
  <r>
    <s v="BLONP"/>
    <s v="Blondesddsl père et fils"/>
    <n v="133"/>
    <x v="7"/>
    <n v="114"/>
    <n v="11"/>
    <s v="18534.08"/>
    <n v="1"/>
    <n v="3"/>
    <n v="3"/>
  </r>
  <r>
    <s v="VICTE"/>
    <s v="Victuailles en stock"/>
    <n v="133"/>
    <x v="7"/>
    <n v="103"/>
    <n v="10"/>
    <s v="9182.43"/>
    <n v="1"/>
    <n v="3"/>
    <n v="3"/>
  </r>
  <r>
    <s v="SEVES"/>
    <s v="Seven Seas Imports"/>
    <n v="133"/>
    <x v="7"/>
    <n v="91"/>
    <n v="9"/>
    <s v="16215.33"/>
    <n v="1"/>
    <n v="3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n v="38"/>
    <x v="0"/>
    <n v="0.11169999999999999"/>
    <x v="0"/>
    <x v="0"/>
    <s v="1265793.04"/>
  </r>
  <r>
    <n v="29"/>
    <x v="1"/>
    <n v="0.17519999999999999"/>
    <x v="0"/>
    <x v="1"/>
    <s v="1265793.04"/>
  </r>
  <r>
    <n v="59"/>
    <x v="2"/>
    <n v="0.23139999999999999"/>
    <x v="0"/>
    <x v="2"/>
    <s v="1265793.04"/>
  </r>
  <r>
    <n v="62"/>
    <x v="3"/>
    <n v="0.26869999999999999"/>
    <x v="0"/>
    <x v="3"/>
    <s v="1265793.04"/>
  </r>
  <r>
    <n v="60"/>
    <x v="4"/>
    <n v="0.30570000000000003"/>
    <x v="0"/>
    <x v="4"/>
    <s v="1265793.04"/>
  </r>
  <r>
    <n v="56"/>
    <x v="5"/>
    <n v="0.33929999999999999"/>
    <x v="0"/>
    <x v="5"/>
    <s v="1265793.04"/>
  </r>
  <r>
    <n v="51"/>
    <x v="6"/>
    <n v="0.37229999999999996"/>
    <x v="0"/>
    <x v="6"/>
    <s v="1265793.04"/>
  </r>
  <r>
    <n v="17"/>
    <x v="7"/>
    <n v="0.39810000000000001"/>
    <x v="0"/>
    <x v="7"/>
    <s v="1265793.04"/>
  </r>
  <r>
    <n v="18"/>
    <x v="8"/>
    <n v="0.42109999999999997"/>
    <x v="0"/>
    <x v="8"/>
    <s v="1265793.04"/>
  </r>
  <r>
    <n v="28"/>
    <x v="9"/>
    <n v="0.44140000000000001"/>
    <x v="0"/>
    <x v="9"/>
    <s v="1265793.04"/>
  </r>
  <r>
    <n v="72"/>
    <x v="10"/>
    <n v="0.46110000000000001"/>
    <x v="0"/>
    <x v="10"/>
    <s v="1265793.04"/>
  </r>
  <r>
    <n v="43"/>
    <x v="11"/>
    <n v="0.47970000000000002"/>
    <x v="0"/>
    <x v="11"/>
    <s v="1265793.04"/>
  </r>
  <r>
    <n v="20"/>
    <x v="12"/>
    <n v="0.4975"/>
    <x v="0"/>
    <x v="12"/>
    <s v="1265793.04"/>
  </r>
  <r>
    <n v="7"/>
    <x v="13"/>
    <n v="0.51490000000000002"/>
    <x v="0"/>
    <x v="13"/>
    <s v="1265793.04"/>
  </r>
  <r>
    <n v="64"/>
    <x v="14"/>
    <n v="0.53220000000000001"/>
    <x v="0"/>
    <x v="14"/>
    <s v="1265793.04"/>
  </r>
  <r>
    <n v="69"/>
    <x v="15"/>
    <n v="0.54949999999999999"/>
    <x v="0"/>
    <x v="15"/>
    <s v="1265793.04"/>
  </r>
  <r>
    <n v="10"/>
    <x v="16"/>
    <n v="0.56600000000000006"/>
    <x v="0"/>
    <x v="16"/>
    <s v="1265793.04"/>
  </r>
  <r>
    <n v="53"/>
    <x v="17"/>
    <n v="0.58229999999999993"/>
    <x v="0"/>
    <x v="17"/>
    <s v="1265793.04"/>
  </r>
  <r>
    <n v="26"/>
    <x v="18"/>
    <n v="0.59799999999999998"/>
    <x v="0"/>
    <x v="18"/>
    <s v="1265793.04"/>
  </r>
  <r>
    <n v="71"/>
    <x v="19"/>
    <n v="0.61340000000000006"/>
    <x v="0"/>
    <x v="19"/>
    <s v="1265793.04"/>
  </r>
  <r>
    <n v="40"/>
    <x v="20"/>
    <n v="0.62749999999999995"/>
    <x v="0"/>
    <x v="20"/>
    <s v="1265793.04"/>
  </r>
  <r>
    <n v="55"/>
    <x v="21"/>
    <n v="0.64129999999999998"/>
    <x v="0"/>
    <x v="21"/>
    <s v="1265793.04"/>
  </r>
  <r>
    <n v="16"/>
    <x v="22"/>
    <n v="0.65489999999999993"/>
    <x v="0"/>
    <x v="22"/>
    <s v="1265793.04"/>
  </r>
  <r>
    <n v="63"/>
    <x v="23"/>
    <n v="0.66810000000000003"/>
    <x v="0"/>
    <x v="23"/>
    <s v="1265793.04"/>
  </r>
  <r>
    <n v="2"/>
    <x v="24"/>
    <n v="0.68099999999999994"/>
    <x v="0"/>
    <x v="24"/>
    <s v="1265793.04"/>
  </r>
  <r>
    <n v="76"/>
    <x v="25"/>
    <n v="0.69349999999999989"/>
    <x v="0"/>
    <x v="25"/>
    <s v="1265793.04"/>
  </r>
  <r>
    <n v="27"/>
    <x v="26"/>
    <n v="0.70540000000000003"/>
    <x v="0"/>
    <x v="26"/>
    <s v="1265793.04"/>
  </r>
  <r>
    <n v="31"/>
    <x v="27"/>
    <n v="0.71719999999999995"/>
    <x v="0"/>
    <x v="27"/>
    <s v="1265793.04"/>
  </r>
  <r>
    <n v="61"/>
    <x v="28"/>
    <n v="0.72849999999999993"/>
    <x v="0"/>
    <x v="28"/>
    <s v="1265793.04"/>
  </r>
  <r>
    <n v="65"/>
    <x v="29"/>
    <n v="0.73950000000000005"/>
    <x v="0"/>
    <x v="29"/>
    <s v="1265793.04"/>
  </r>
  <r>
    <n v="35"/>
    <x v="30"/>
    <n v="0.75029999999999997"/>
    <x v="0"/>
    <x v="30"/>
    <s v="1265793.04"/>
  </r>
  <r>
    <n v="36"/>
    <x v="31"/>
    <n v="0.76090000000000002"/>
    <x v="0"/>
    <x v="31"/>
    <s v="1265793.04"/>
  </r>
  <r>
    <n v="30"/>
    <x v="32"/>
    <n v="0.77150000000000007"/>
    <x v="0"/>
    <x v="32"/>
    <s v="1265793.04"/>
  </r>
  <r>
    <n v="11"/>
    <x v="33"/>
    <n v="0.78170000000000006"/>
    <x v="0"/>
    <x v="33"/>
    <s v="1265793.04"/>
  </r>
  <r>
    <n v="1"/>
    <x v="34"/>
    <n v="0.79180000000000006"/>
    <x v="0"/>
    <x v="34"/>
    <s v="1265793.04"/>
  </r>
  <r>
    <n v="8"/>
    <x v="35"/>
    <n v="0.80189999999999995"/>
    <x v="1"/>
    <x v="35"/>
    <s v="1265793.04"/>
  </r>
  <r>
    <n v="39"/>
    <x v="36"/>
    <n v="0.81159999999999999"/>
    <x v="1"/>
    <x v="36"/>
    <s v="1265793.04"/>
  </r>
  <r>
    <n v="12"/>
    <x v="37"/>
    <n v="0.82129999999999992"/>
    <x v="1"/>
    <x v="37"/>
    <s v="1265793.04"/>
  </r>
  <r>
    <n v="70"/>
    <x v="38"/>
    <n v="0.82969999999999999"/>
    <x v="1"/>
    <x v="38"/>
    <s v="1265793.04"/>
  </r>
  <r>
    <n v="44"/>
    <x v="39"/>
    <n v="0.83750000000000002"/>
    <x v="1"/>
    <x v="39"/>
    <s v="1265793.04"/>
  </r>
  <r>
    <n v="49"/>
    <x v="40"/>
    <n v="0.8448"/>
    <x v="1"/>
    <x v="40"/>
    <s v="1265793.04"/>
  </r>
  <r>
    <n v="77"/>
    <x v="41"/>
    <n v="0.85199999999999998"/>
    <x v="1"/>
    <x v="41"/>
    <s v="1265793.04"/>
  </r>
  <r>
    <n v="21"/>
    <x v="42"/>
    <n v="0.85919999999999996"/>
    <x v="1"/>
    <x v="42"/>
    <s v="1265793.04"/>
  </r>
  <r>
    <n v="68"/>
    <x v="43"/>
    <n v="0.86609999999999998"/>
    <x v="1"/>
    <x v="43"/>
    <s v="1265793.04"/>
  </r>
  <r>
    <n v="41"/>
    <x v="44"/>
    <n v="0.873"/>
    <x v="1"/>
    <x v="44"/>
    <s v="1265793.04"/>
  </r>
  <r>
    <n v="42"/>
    <x v="45"/>
    <n v="0.87980000000000003"/>
    <x v="1"/>
    <x v="45"/>
    <s v="1265793.04"/>
  </r>
  <r>
    <n v="4"/>
    <x v="46"/>
    <n v="0.88659999999999994"/>
    <x v="1"/>
    <x v="46"/>
    <s v="1265793.04"/>
  </r>
  <r>
    <n v="32"/>
    <x v="47"/>
    <n v="0.89319999999999988"/>
    <x v="1"/>
    <x v="47"/>
    <s v="1265793.04"/>
  </r>
  <r>
    <n v="75"/>
    <x v="48"/>
    <n v="0.89969999999999994"/>
    <x v="1"/>
    <x v="48"/>
    <s v="1265793.04"/>
  </r>
  <r>
    <n v="14"/>
    <x v="49"/>
    <n v="0.90599999999999992"/>
    <x v="1"/>
    <x v="49"/>
    <s v="1265793.04"/>
  </r>
  <r>
    <n v="57"/>
    <x v="50"/>
    <n v="0.91209999999999991"/>
    <x v="1"/>
    <x v="50"/>
    <s v="1265793.04"/>
  </r>
  <r>
    <n v="9"/>
    <x v="51"/>
    <n v="0.91780000000000006"/>
    <x v="1"/>
    <x v="51"/>
    <s v="1265793.04"/>
  </r>
  <r>
    <n v="6"/>
    <x v="52"/>
    <n v="0.9234"/>
    <x v="1"/>
    <x v="52"/>
    <s v="1265793.04"/>
  </r>
  <r>
    <n v="22"/>
    <x v="53"/>
    <n v="0.92900000000000005"/>
    <x v="1"/>
    <x v="53"/>
    <s v="1265793.04"/>
  </r>
  <r>
    <n v="34"/>
    <x v="54"/>
    <n v="0.93400000000000005"/>
    <x v="1"/>
    <x v="54"/>
    <s v="1265793.04"/>
  </r>
  <r>
    <n v="46"/>
    <x v="55"/>
    <n v="0.93859999999999999"/>
    <x v="1"/>
    <x v="55"/>
    <s v="1265793.04"/>
  </r>
  <r>
    <n v="58"/>
    <x v="56"/>
    <n v="0.94319999999999993"/>
    <x v="1"/>
    <x v="56"/>
    <s v="1265793.04"/>
  </r>
  <r>
    <n v="19"/>
    <x v="57"/>
    <n v="0.94779999999999998"/>
    <x v="1"/>
    <x v="57"/>
    <s v="1265793.04"/>
  </r>
  <r>
    <n v="5"/>
    <x v="58"/>
    <n v="0.95200000000000007"/>
    <x v="2"/>
    <x v="58"/>
    <s v="1265793.04"/>
  </r>
  <r>
    <n v="13"/>
    <x v="59"/>
    <n v="0.95590000000000008"/>
    <x v="2"/>
    <x v="59"/>
    <s v="1265793.04"/>
  </r>
  <r>
    <n v="54"/>
    <x v="60"/>
    <n v="0.9595999999999999"/>
    <x v="2"/>
    <x v="60"/>
    <s v="1265793.04"/>
  </r>
  <r>
    <n v="23"/>
    <x v="61"/>
    <n v="0.96319999999999995"/>
    <x v="2"/>
    <x v="61"/>
    <s v="1265793.04"/>
  </r>
  <r>
    <n v="24"/>
    <x v="62"/>
    <n v="0.9668000000000001"/>
    <x v="2"/>
    <x v="62"/>
    <s v="1265793.04"/>
  </r>
  <r>
    <n v="45"/>
    <x v="63"/>
    <n v="0.97019999999999995"/>
    <x v="2"/>
    <x v="63"/>
    <s v="1265793.04"/>
  </r>
  <r>
    <n v="73"/>
    <x v="64"/>
    <n v="0.97340000000000004"/>
    <x v="2"/>
    <x v="64"/>
    <s v="1265793.04"/>
  </r>
  <r>
    <n v="47"/>
    <x v="65"/>
    <n v="0.97650000000000003"/>
    <x v="2"/>
    <x v="65"/>
    <s v="1265793.04"/>
  </r>
  <r>
    <n v="25"/>
    <x v="66"/>
    <n v="0.97939999999999994"/>
    <x v="2"/>
    <x v="66"/>
    <s v="1265793.04"/>
  </r>
  <r>
    <n v="50"/>
    <x v="67"/>
    <n v="0.98209999999999997"/>
    <x v="2"/>
    <x v="67"/>
    <s v="1265793.04"/>
  </r>
  <r>
    <n v="66"/>
    <x v="68"/>
    <n v="0.98480000000000001"/>
    <x v="2"/>
    <x v="68"/>
    <s v="1265793.04"/>
  </r>
  <r>
    <n v="52"/>
    <x v="69"/>
    <n v="0.98739999999999994"/>
    <x v="2"/>
    <x v="69"/>
    <s v="1265793.04"/>
  </r>
  <r>
    <n v="3"/>
    <x v="70"/>
    <n v="0.98980000000000001"/>
    <x v="2"/>
    <x v="70"/>
    <s v="1265793.04"/>
  </r>
  <r>
    <n v="37"/>
    <x v="71"/>
    <n v="0.9919"/>
    <x v="2"/>
    <x v="71"/>
    <s v="1265793.04"/>
  </r>
  <r>
    <n v="74"/>
    <x v="72"/>
    <n v="0.99379999999999991"/>
    <x v="2"/>
    <x v="72"/>
    <s v="1265793.04"/>
  </r>
  <r>
    <n v="67"/>
    <x v="73"/>
    <n v="0.99569999999999992"/>
    <x v="2"/>
    <x v="73"/>
    <s v="1265793.04"/>
  </r>
  <r>
    <n v="15"/>
    <x v="74"/>
    <n v="0.99709999999999999"/>
    <x v="2"/>
    <x v="74"/>
    <s v="1265793.04"/>
  </r>
  <r>
    <n v="33"/>
    <x v="75"/>
    <n v="0.99840000000000007"/>
    <x v="2"/>
    <x v="75"/>
    <s v="1265793.04"/>
  </r>
  <r>
    <n v="48"/>
    <x v="76"/>
    <n v="0.99950000000000006"/>
    <x v="2"/>
    <x v="76"/>
    <s v="1265793.0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x v="0"/>
    <x v="0"/>
    <n v="20"/>
    <n v="27861.89"/>
    <n v="27861.89"/>
    <n v="1393.09"/>
  </r>
  <r>
    <x v="0"/>
    <x v="1"/>
    <n v="20"/>
    <n v="5755.72"/>
    <n v="33617.61"/>
    <n v="1680.88"/>
  </r>
  <r>
    <x v="0"/>
    <x v="2"/>
    <n v="20"/>
    <n v="9179.7000000000007"/>
    <n v="42797.31"/>
    <n v="2139.87"/>
  </r>
  <r>
    <x v="0"/>
    <x v="3"/>
    <n v="20"/>
    <n v="7655.64"/>
    <n v="50452.95"/>
    <n v="2522.65"/>
  </r>
  <r>
    <x v="0"/>
    <x v="4"/>
    <n v="20"/>
    <n v="18393.580000000002"/>
    <n v="68846.53"/>
    <n v="3442.33"/>
  </r>
  <r>
    <x v="0"/>
    <x v="5"/>
    <n v="20"/>
    <n v="11101.68"/>
    <n v="79948.210000000006"/>
    <n v="3997.41"/>
  </r>
  <r>
    <x v="0"/>
    <x v="6"/>
    <n v="20"/>
    <n v="19584.82"/>
    <n v="99533.03"/>
    <n v="4976.6499999999996"/>
  </r>
  <r>
    <x v="0"/>
    <x v="7"/>
    <n v="20"/>
    <n v="15874.5"/>
    <n v="115407.53"/>
    <n v="5770.38"/>
  </r>
  <r>
    <x v="0"/>
    <x v="8"/>
    <n v="20"/>
    <n v="20938.43"/>
    <n v="136345.96"/>
    <n v="6817.3"/>
  </r>
  <r>
    <x v="0"/>
    <x v="9"/>
    <n v="20"/>
    <n v="13141.15"/>
    <n v="149487.10999999999"/>
    <n v="7474.36"/>
  </r>
  <r>
    <x v="0"/>
    <x v="10"/>
    <n v="20"/>
    <n v="14351.35"/>
    <n v="163838.46"/>
    <n v="8191.92"/>
  </r>
  <r>
    <x v="0"/>
    <x v="11"/>
    <n v="20"/>
    <n v="12717.96"/>
    <n v="176556.42"/>
    <n v="8827.82"/>
  </r>
  <r>
    <x v="0"/>
    <x v="12"/>
    <n v="20"/>
    <n v="12946.46"/>
    <n v="189502.88"/>
    <n v="9475.14"/>
  </r>
  <r>
    <x v="0"/>
    <x v="13"/>
    <n v="20"/>
    <n v="13523.84"/>
    <n v="203026.72"/>
    <n v="10151.34"/>
  </r>
  <r>
    <x v="0"/>
    <x v="14"/>
    <n v="20"/>
    <n v="13439.64"/>
    <n v="216466.36"/>
    <n v="10823.32"/>
  </r>
  <r>
    <x v="0"/>
    <x v="15"/>
    <n v="20"/>
    <n v="12578.35"/>
    <n v="229044.71"/>
    <n v="11452.24"/>
  </r>
  <r>
    <x v="0"/>
    <x v="16"/>
    <n v="20"/>
    <n v="10864.64"/>
    <n v="239909.35"/>
    <n v="11995.47"/>
  </r>
  <r>
    <x v="0"/>
    <x v="17"/>
    <n v="20"/>
    <n v="30665.040000000001"/>
    <n v="270574.39"/>
    <n v="13528.72"/>
  </r>
  <r>
    <x v="0"/>
    <x v="18"/>
    <n v="20"/>
    <n v="26695.27"/>
    <n v="297269.65999999997"/>
    <n v="14863.48"/>
  </r>
  <r>
    <x v="0"/>
    <x v="19"/>
    <n v="20"/>
    <n v="29067.03"/>
    <n v="326336.69"/>
    <n v="16316.83"/>
  </r>
  <r>
    <x v="0"/>
    <x v="20"/>
    <n v="20"/>
    <n v="40989.550000000003"/>
    <n v="367326.24"/>
    <n v="18366.310000000001"/>
  </r>
  <r>
    <x v="0"/>
    <x v="21"/>
    <n v="20"/>
    <n v="52167.29"/>
    <n v="419493.53"/>
    <n v="20974.68"/>
  </r>
  <r>
    <x v="0"/>
    <x v="22"/>
    <n v="20"/>
    <n v="7900.57"/>
    <n v="427394.1"/>
    <n v="21369.71"/>
  </r>
  <r>
    <x v="1"/>
    <x v="0"/>
    <n v="14"/>
    <n v="19729.55"/>
    <n v="19729.55"/>
    <n v="1409.25"/>
  </r>
  <r>
    <x v="1"/>
    <x v="1"/>
    <n v="14"/>
    <n v="3643.4"/>
    <n v="23372.95"/>
    <n v="1669.5"/>
  </r>
  <r>
    <x v="1"/>
    <x v="2"/>
    <n v="14"/>
    <n v="9002.6299999999992"/>
    <n v="32375.58"/>
    <n v="2312.54"/>
  </r>
  <r>
    <x v="1"/>
    <x v="3"/>
    <n v="14"/>
    <n v="6280.32"/>
    <n v="38655.9"/>
    <n v="2761.14"/>
  </r>
  <r>
    <x v="1"/>
    <x v="4"/>
    <n v="14"/>
    <n v="5416"/>
    <n v="44071.9"/>
    <n v="3147.99"/>
  </r>
  <r>
    <x v="1"/>
    <x v="5"/>
    <n v="14"/>
    <n v="4083.05"/>
    <n v="48154.95"/>
    <n v="3439.64"/>
  </r>
  <r>
    <x v="1"/>
    <x v="6"/>
    <n v="14"/>
    <n v="8026.8"/>
    <n v="56181.75"/>
    <n v="4012.98"/>
  </r>
  <r>
    <x v="1"/>
    <x v="7"/>
    <n v="14"/>
    <n v="3637.4"/>
    <n v="59819.15"/>
    <n v="4272.8"/>
  </r>
  <r>
    <x v="1"/>
    <x v="8"/>
    <n v="14"/>
    <n v="20284.189999999999"/>
    <n v="80103.34"/>
    <n v="5721.67"/>
  </r>
  <r>
    <x v="1"/>
    <x v="9"/>
    <n v="14"/>
    <n v="22552.12"/>
    <n v="102655.46"/>
    <n v="7332.53"/>
  </r>
  <r>
    <x v="1"/>
    <x v="10"/>
    <n v="14"/>
    <n v="7570.13"/>
    <n v="110225.59"/>
    <n v="7873.26"/>
  </r>
  <r>
    <x v="1"/>
    <x v="11"/>
    <n v="14"/>
    <n v="7278.06"/>
    <n v="117503.65"/>
    <n v="8393.1200000000008"/>
  </r>
  <r>
    <x v="1"/>
    <x v="12"/>
    <n v="14"/>
    <n v="3762.2"/>
    <n v="121265.85"/>
    <n v="8661.85"/>
  </r>
  <r>
    <x v="1"/>
    <x v="13"/>
    <n v="14"/>
    <n v="9570.93"/>
    <n v="130836.78"/>
    <n v="9345.48"/>
  </r>
  <r>
    <x v="1"/>
    <x v="14"/>
    <n v="14"/>
    <n v="16500.18"/>
    <n v="147336.95999999999"/>
    <n v="10524.07"/>
  </r>
  <r>
    <x v="1"/>
    <x v="15"/>
    <n v="14"/>
    <n v="9658.5"/>
    <n v="156995.46"/>
    <n v="11213.96"/>
  </r>
  <r>
    <x v="1"/>
    <x v="16"/>
    <n v="14"/>
    <n v="9489.82"/>
    <n v="166485.28"/>
    <n v="11891.81"/>
  </r>
  <r>
    <x v="1"/>
    <x v="17"/>
    <n v="14"/>
    <n v="21950.880000000001"/>
    <n v="188436.16"/>
    <n v="13459.73"/>
  </r>
  <r>
    <x v="1"/>
    <x v="18"/>
    <n v="14"/>
    <n v="23381.31"/>
    <n v="211817.47"/>
    <n v="15129.82"/>
  </r>
  <r>
    <x v="1"/>
    <x v="19"/>
    <n v="14"/>
    <n v="12047.97"/>
    <n v="223865.44"/>
    <n v="15990.39"/>
  </r>
  <r>
    <x v="1"/>
    <x v="20"/>
    <n v="14"/>
    <n v="16203.39"/>
    <n v="240068.83"/>
    <n v="17147.77"/>
  </r>
  <r>
    <x v="1"/>
    <x v="21"/>
    <n v="14"/>
    <n v="2663.9"/>
    <n v="242732.73"/>
    <n v="17338.05"/>
  </r>
  <r>
    <x v="2"/>
    <x v="0"/>
    <n v="9"/>
    <n v="13558.3"/>
    <n v="13558.3"/>
    <n v="1506.48"/>
  </r>
  <r>
    <x v="2"/>
    <x v="1"/>
    <n v="9"/>
    <n v="3355.06"/>
    <n v="16913.36"/>
    <n v="1879.26"/>
  </r>
  <r>
    <x v="2"/>
    <x v="2"/>
    <n v="9"/>
    <n v="1470"/>
    <n v="18383.36"/>
    <n v="2042.6"/>
  </r>
  <r>
    <x v="2"/>
    <x v="3"/>
    <n v="9"/>
    <n v="2680.22"/>
    <n v="21063.58"/>
    <n v="2340.4"/>
  </r>
  <r>
    <x v="2"/>
    <x v="4"/>
    <n v="9"/>
    <n v="1441.37"/>
    <n v="22504.95"/>
    <n v="2500.5500000000002"/>
  </r>
  <r>
    <x v="2"/>
    <x v="5"/>
    <n v="9"/>
    <n v="1755"/>
    <n v="24259.95"/>
    <n v="2695.55"/>
  </r>
  <r>
    <x v="2"/>
    <x v="6"/>
    <n v="9"/>
    <n v="230.4"/>
    <n v="24490.35"/>
    <n v="2721.15"/>
  </r>
  <r>
    <x v="2"/>
    <x v="7"/>
    <n v="9"/>
    <n v="6371.55"/>
    <n v="30861.9"/>
    <n v="3429.1"/>
  </r>
  <r>
    <x v="2"/>
    <x v="8"/>
    <n v="9"/>
    <n v="1100.5"/>
    <n v="31962.400000000001"/>
    <n v="3551.38"/>
  </r>
  <r>
    <x v="2"/>
    <x v="9"/>
    <n v="9"/>
    <n v="2519"/>
    <n v="34481.4"/>
    <n v="3831.27"/>
  </r>
  <r>
    <x v="2"/>
    <x v="10"/>
    <n v="9"/>
    <n v="989.5"/>
    <n v="35470.9"/>
    <n v="3941.21"/>
  </r>
  <r>
    <x v="2"/>
    <x v="11"/>
    <n v="9"/>
    <n v="6757.05"/>
    <n v="42227.95"/>
    <n v="4691.99"/>
  </r>
  <r>
    <x v="2"/>
    <x v="12"/>
    <n v="9"/>
    <n v="9336.4500000000007"/>
    <n v="51564.4"/>
    <n v="5729.38"/>
  </r>
  <r>
    <x v="2"/>
    <x v="13"/>
    <n v="9"/>
    <n v="6171.38"/>
    <n v="57735.78"/>
    <n v="6415.09"/>
  </r>
  <r>
    <x v="2"/>
    <x v="14"/>
    <n v="9"/>
    <n v="2397"/>
    <n v="60132.78"/>
    <n v="6681.42"/>
  </r>
  <r>
    <x v="2"/>
    <x v="15"/>
    <n v="9"/>
    <n v="3221.6"/>
    <n v="63354.38"/>
    <n v="7039.38"/>
  </r>
  <r>
    <x v="2"/>
    <x v="16"/>
    <n v="9"/>
    <n v="5402.89"/>
    <n v="68757.27"/>
    <n v="7639.7"/>
  </r>
  <r>
    <x v="2"/>
    <x v="17"/>
    <n v="9"/>
    <n v="21861.75"/>
    <n v="90619.02"/>
    <n v="10068.780000000001"/>
  </r>
  <r>
    <x v="2"/>
    <x v="18"/>
    <n v="9"/>
    <n v="6668.63"/>
    <n v="97287.65"/>
    <n v="10809.74"/>
  </r>
  <r>
    <x v="2"/>
    <x v="19"/>
    <n v="9"/>
    <n v="5689.25"/>
    <n v="102976.9"/>
    <n v="11441.88"/>
  </r>
  <r>
    <x v="3"/>
    <x v="0"/>
    <n v="9"/>
    <n v="17502.39"/>
    <n v="17502.39"/>
    <n v="1944.71"/>
  </r>
  <r>
    <x v="3"/>
    <x v="1"/>
    <n v="9"/>
    <n v="2254.6999999999998"/>
    <n v="19757.09"/>
    <n v="2195.23"/>
  </r>
  <r>
    <x v="3"/>
    <x v="2"/>
    <n v="9"/>
    <n v="6178.27"/>
    <n v="25935.360000000001"/>
    <n v="2881.71"/>
  </r>
  <r>
    <x v="3"/>
    <x v="3"/>
    <n v="9"/>
    <n v="20382.96"/>
    <n v="46318.32"/>
    <n v="5146.4799999999996"/>
  </r>
  <r>
    <x v="3"/>
    <x v="4"/>
    <n v="9"/>
    <n v="11013.43"/>
    <n v="57331.75"/>
    <n v="6370.19"/>
  </r>
  <r>
    <x v="3"/>
    <x v="5"/>
    <n v="9"/>
    <n v="6214.28"/>
    <n v="63546.03"/>
    <n v="7060.67"/>
  </r>
  <r>
    <x v="3"/>
    <x v="6"/>
    <n v="9"/>
    <n v="8637.5400000000009"/>
    <n v="72183.570000000007"/>
    <n v="8020.4"/>
  </r>
  <r>
    <x v="3"/>
    <x v="7"/>
    <n v="9"/>
    <n v="2964.81"/>
    <n v="75148.38"/>
    <n v="8349.82"/>
  </r>
  <r>
    <x v="3"/>
    <x v="8"/>
    <n v="9"/>
    <n v="6884.75"/>
    <n v="82033.13"/>
    <n v="9114.7900000000009"/>
  </r>
  <r>
    <x v="3"/>
    <x v="9"/>
    <n v="9"/>
    <n v="19774.95"/>
    <n v="101808.08"/>
    <n v="11312.01"/>
  </r>
  <r>
    <x v="3"/>
    <x v="10"/>
    <n v="9"/>
    <n v="6742.85"/>
    <n v="108550.93"/>
    <n v="12061.21"/>
  </r>
  <r>
    <x v="3"/>
    <x v="11"/>
    <n v="9"/>
    <n v="13416.89"/>
    <n v="121967.82"/>
    <n v="13551.98"/>
  </r>
  <r>
    <x v="3"/>
    <x v="12"/>
    <n v="9"/>
    <n v="18091.25"/>
    <n v="140059.07"/>
    <n v="15562.12"/>
  </r>
  <r>
    <x v="3"/>
    <x v="13"/>
    <n v="9"/>
    <n v="8070.75"/>
    <n v="148129.82"/>
    <n v="16458.87"/>
  </r>
  <r>
    <x v="3"/>
    <x v="14"/>
    <n v="9"/>
    <n v="7523.16"/>
    <n v="155652.98000000001"/>
    <n v="17294.78"/>
  </r>
  <r>
    <x v="3"/>
    <x v="15"/>
    <n v="9"/>
    <n v="17735.580000000002"/>
    <n v="173388.56"/>
    <n v="19265.400000000001"/>
  </r>
  <r>
    <x v="3"/>
    <x v="16"/>
    <n v="9"/>
    <n v="12044.08"/>
    <n v="185432.64"/>
    <n v="20603.63"/>
  </r>
  <r>
    <x v="3"/>
    <x v="17"/>
    <n v="9"/>
    <n v="8972.83"/>
    <n v="194405.47"/>
    <n v="21600.61"/>
  </r>
  <r>
    <x v="3"/>
    <x v="18"/>
    <n v="9"/>
    <n v="22809.55"/>
    <n v="217215.02"/>
    <n v="24135"/>
  </r>
  <r>
    <x v="3"/>
    <x v="19"/>
    <n v="9"/>
    <n v="5655.24"/>
    <n v="222870.26"/>
    <n v="24763.360000000001"/>
  </r>
  <r>
    <x v="4"/>
    <x v="0"/>
    <n v="10"/>
    <n v="17201.439999999999"/>
    <n v="17201.439999999999"/>
    <n v="1720.14"/>
  </r>
  <r>
    <x v="4"/>
    <x v="1"/>
    <n v="10"/>
    <n v="6522.36"/>
    <n v="23723.8"/>
    <n v="2372.38"/>
  </r>
  <r>
    <x v="4"/>
    <x v="2"/>
    <n v="10"/>
    <n v="6760.23"/>
    <n v="30484.03"/>
    <n v="3048.4"/>
  </r>
  <r>
    <x v="4"/>
    <x v="3"/>
    <n v="10"/>
    <n v="738.9"/>
    <n v="31222.93"/>
    <n v="3122.29"/>
  </r>
  <r>
    <x v="4"/>
    <x v="4"/>
    <n v="10"/>
    <n v="3994"/>
    <n v="35216.93"/>
    <n v="3521.69"/>
  </r>
  <r>
    <x v="4"/>
    <x v="5"/>
    <n v="10"/>
    <n v="2406.02"/>
    <n v="37622.949999999997"/>
    <n v="3762.3"/>
  </r>
  <r>
    <x v="4"/>
    <x v="6"/>
    <n v="10"/>
    <n v="11154.31"/>
    <n v="48777.26"/>
    <n v="4877.7299999999996"/>
  </r>
  <r>
    <x v="4"/>
    <x v="7"/>
    <n v="10"/>
    <n v="4689.8999999999996"/>
    <n v="53467.16"/>
    <n v="5346.72"/>
  </r>
  <r>
    <x v="4"/>
    <x v="8"/>
    <n v="10"/>
    <n v="1878.58"/>
    <n v="55345.74"/>
    <n v="5534.57"/>
  </r>
  <r>
    <x v="4"/>
    <x v="9"/>
    <n v="10"/>
    <n v="1835"/>
    <n v="57180.74"/>
    <n v="5718.07"/>
  </r>
  <r>
    <x v="4"/>
    <x v="10"/>
    <n v="10"/>
    <n v="2593.31"/>
    <n v="59774.05"/>
    <n v="5977.41"/>
  </r>
  <r>
    <x v="4"/>
    <x v="11"/>
    <n v="10"/>
    <n v="5089.3999999999996"/>
    <n v="64863.45"/>
    <n v="6486.35"/>
  </r>
  <r>
    <x v="4"/>
    <x v="12"/>
    <n v="10"/>
    <n v="3851.05"/>
    <n v="68714.5"/>
    <n v="6871.45"/>
  </r>
  <r>
    <x v="4"/>
    <x v="13"/>
    <n v="10"/>
    <n v="10142.459999999999"/>
    <n v="78856.960000000006"/>
    <n v="7885.7"/>
  </r>
  <r>
    <x v="4"/>
    <x v="14"/>
    <n v="10"/>
    <n v="2900.87"/>
    <n v="81757.83"/>
    <n v="8175.78"/>
  </r>
  <r>
    <x v="4"/>
    <x v="15"/>
    <n v="10"/>
    <n v="1982"/>
    <n v="83739.83"/>
    <n v="8373.98"/>
  </r>
  <r>
    <x v="4"/>
    <x v="16"/>
    <n v="10"/>
    <n v="11833.05"/>
    <n v="95572.88"/>
    <n v="9557.2900000000009"/>
  </r>
  <r>
    <x v="4"/>
    <x v="17"/>
    <n v="10"/>
    <n v="12739.69"/>
    <n v="108312.57"/>
    <n v="10831.26"/>
  </r>
  <r>
    <x v="4"/>
    <x v="18"/>
    <n v="10"/>
    <n v="86.85"/>
    <n v="108399.42"/>
    <n v="10839.94"/>
  </r>
  <r>
    <x v="5"/>
    <x v="0"/>
    <n v="5"/>
    <n v="13341.1"/>
    <n v="13341.1"/>
    <n v="2668.22"/>
  </r>
  <r>
    <x v="5"/>
    <x v="1"/>
    <n v="5"/>
    <n v="5594.23"/>
    <n v="18935.330000000002"/>
    <n v="3787.07"/>
  </r>
  <r>
    <x v="5"/>
    <x v="3"/>
    <n v="5"/>
    <n v="889.7"/>
    <n v="19825.03"/>
    <n v="3965.01"/>
  </r>
  <r>
    <x v="5"/>
    <x v="4"/>
    <n v="5"/>
    <n v="1051.2"/>
    <n v="20876.23"/>
    <n v="4175.25"/>
  </r>
  <r>
    <x v="5"/>
    <x v="7"/>
    <n v="5"/>
    <n v="1287.8"/>
    <n v="22164.03"/>
    <n v="4432.8100000000004"/>
  </r>
  <r>
    <x v="5"/>
    <x v="8"/>
    <n v="5"/>
    <n v="3261.94"/>
    <n v="25425.97"/>
    <n v="5085.1899999999996"/>
  </r>
  <r>
    <x v="5"/>
    <x v="9"/>
    <n v="5"/>
    <n v="2928.02"/>
    <n v="28353.99"/>
    <n v="5670.8"/>
  </r>
  <r>
    <x v="5"/>
    <x v="10"/>
    <n v="5"/>
    <n v="595.5"/>
    <n v="28949.49"/>
    <n v="5789.9"/>
  </r>
  <r>
    <x v="5"/>
    <x v="11"/>
    <n v="5"/>
    <n v="4414.75"/>
    <n v="33364.239999999998"/>
    <n v="6672.85"/>
  </r>
  <r>
    <x v="5"/>
    <x v="12"/>
    <n v="5"/>
    <n v="1930.93"/>
    <n v="35295.17"/>
    <n v="7059.03"/>
  </r>
  <r>
    <x v="5"/>
    <x v="13"/>
    <n v="5"/>
    <n v="2684.4"/>
    <n v="37979.57"/>
    <n v="7595.91"/>
  </r>
  <r>
    <x v="5"/>
    <x v="14"/>
    <n v="5"/>
    <n v="4484.3500000000004"/>
    <n v="42463.92"/>
    <n v="8492.7800000000007"/>
  </r>
  <r>
    <x v="5"/>
    <x v="15"/>
    <n v="5"/>
    <n v="9746.23"/>
    <n v="52210.15"/>
    <n v="10442.030000000001"/>
  </r>
  <r>
    <x v="5"/>
    <x v="16"/>
    <n v="5"/>
    <n v="4612.17"/>
    <n v="56822.32"/>
    <n v="11364.46"/>
  </r>
  <r>
    <x v="5"/>
    <x v="17"/>
    <n v="5"/>
    <n v="2027.08"/>
    <n v="58849.4"/>
    <n v="11769.88"/>
  </r>
  <r>
    <x v="6"/>
    <x v="0"/>
    <n v="5"/>
    <n v="3411.4"/>
    <n v="3411.4"/>
    <n v="682.28"/>
  </r>
  <r>
    <x v="6"/>
    <x v="2"/>
    <n v="5"/>
    <n v="2340"/>
    <n v="5751.4"/>
    <n v="1150.28"/>
  </r>
  <r>
    <x v="6"/>
    <x v="4"/>
    <n v="5"/>
    <n v="110"/>
    <n v="5861.4"/>
    <n v="1172.28"/>
  </r>
  <r>
    <x v="6"/>
    <x v="7"/>
    <n v="5"/>
    <n v="7705.55"/>
    <n v="13566.95"/>
    <n v="2713.39"/>
  </r>
  <r>
    <x v="6"/>
    <x v="8"/>
    <n v="5"/>
    <n v="1119.93"/>
    <n v="14686.88"/>
    <n v="2937.38"/>
  </r>
  <r>
    <x v="6"/>
    <x v="9"/>
    <n v="5"/>
    <n v="4322.93"/>
    <n v="19009.810000000001"/>
    <n v="3801.96"/>
  </r>
  <r>
    <x v="6"/>
    <x v="10"/>
    <n v="5"/>
    <n v="3436.35"/>
    <n v="22446.16"/>
    <n v="4489.2299999999996"/>
  </r>
  <r>
    <x v="6"/>
    <x v="11"/>
    <n v="5"/>
    <n v="5267.9"/>
    <n v="27714.06"/>
    <n v="5542.81"/>
  </r>
  <r>
    <x v="6"/>
    <x v="12"/>
    <n v="5"/>
    <n v="3001.58"/>
    <n v="30715.64"/>
    <n v="6143.13"/>
  </r>
  <r>
    <x v="6"/>
    <x v="13"/>
    <n v="5"/>
    <n v="30"/>
    <n v="30745.64"/>
    <n v="6149.13"/>
  </r>
  <r>
    <x v="6"/>
    <x v="14"/>
    <n v="5"/>
    <n v="5915.08"/>
    <n v="36660.720000000001"/>
    <n v="7332.14"/>
  </r>
  <r>
    <x v="6"/>
    <x v="15"/>
    <n v="5"/>
    <n v="4902.78"/>
    <n v="41563.5"/>
    <n v="8312.7000000000007"/>
  </r>
  <r>
    <x v="7"/>
    <x v="0"/>
    <n v="2"/>
    <n v="1075"/>
    <n v="1075"/>
    <n v="537.5"/>
  </r>
  <r>
    <x v="7"/>
    <x v="1"/>
    <n v="2"/>
    <n v="156"/>
    <n v="1231"/>
    <n v="615.5"/>
  </r>
  <r>
    <x v="7"/>
    <x v="8"/>
    <n v="2"/>
    <n v="706"/>
    <n v="1937"/>
    <n v="968.5"/>
  </r>
  <r>
    <x v="7"/>
    <x v="11"/>
    <n v="2"/>
    <n v="1863.5"/>
    <n v="3800.5"/>
    <n v="1900.25"/>
  </r>
  <r>
    <x v="7"/>
    <x v="12"/>
    <n v="2"/>
    <n v="686.7"/>
    <n v="4487.2"/>
    <n v="2243.6"/>
  </r>
  <r>
    <x v="7"/>
    <x v="14"/>
    <n v="2"/>
    <n v="76"/>
    <n v="4563.2"/>
    <n v="2281.6"/>
  </r>
  <r>
    <x v="8"/>
    <x v="0"/>
    <n v="1"/>
    <n v="147"/>
    <n v="147"/>
    <n v="147"/>
  </r>
  <r>
    <x v="8"/>
    <x v="2"/>
    <n v="1"/>
    <n v="210"/>
    <n v="357"/>
    <n v="357"/>
  </r>
  <r>
    <x v="9"/>
    <x v="0"/>
    <n v="4"/>
    <n v="1141.3"/>
    <n v="1141.3"/>
    <n v="285.33"/>
  </r>
  <r>
    <x v="9"/>
    <x v="2"/>
    <n v="4"/>
    <n v="330"/>
    <n v="1471.3"/>
    <n v="367.83"/>
  </r>
  <r>
    <x v="9"/>
    <x v="3"/>
    <n v="4"/>
    <n v="464"/>
    <n v="1935.3"/>
    <n v="483.83"/>
  </r>
  <r>
    <x v="9"/>
    <x v="4"/>
    <n v="4"/>
    <n v="57.5"/>
    <n v="1992.8"/>
    <n v="498.2"/>
  </r>
  <r>
    <x v="9"/>
    <x v="7"/>
    <n v="4"/>
    <n v="252"/>
    <n v="2244.8000000000002"/>
    <n v="561.20000000000005"/>
  </r>
  <r>
    <x v="9"/>
    <x v="8"/>
    <n v="4"/>
    <n v="12.5"/>
    <n v="2257.3000000000002"/>
    <n v="564.33000000000004"/>
  </r>
  <r>
    <x v="9"/>
    <x v="9"/>
    <n v="4"/>
    <n v="1289"/>
    <n v="3546.3"/>
    <n v="886.58"/>
  </r>
  <r>
    <x v="9"/>
    <x v="10"/>
    <n v="4"/>
    <n v="150"/>
    <n v="3696.3"/>
    <n v="924.08"/>
  </r>
  <r>
    <x v="9"/>
    <x v="11"/>
    <n v="4"/>
    <n v="1321.8"/>
    <n v="5018.1000000000004"/>
    <n v="1254.53"/>
  </r>
  <r>
    <x v="9"/>
    <x v="12"/>
    <n v="4"/>
    <n v="1208"/>
    <n v="6226.1"/>
    <n v="1556.53"/>
  </r>
  <r>
    <x v="10"/>
    <x v="0"/>
    <n v="2"/>
    <n v="1338.2"/>
    <n v="1338.2"/>
    <n v="669.1"/>
  </r>
  <r>
    <x v="10"/>
    <x v="2"/>
    <n v="2"/>
    <n v="6281.49"/>
    <n v="7619.69"/>
    <n v="3809.85"/>
  </r>
  <r>
    <x v="10"/>
    <x v="3"/>
    <n v="2"/>
    <n v="1434"/>
    <n v="9053.69"/>
    <n v="4526.8500000000004"/>
  </r>
  <r>
    <x v="10"/>
    <x v="4"/>
    <n v="2"/>
    <n v="1891.61"/>
    <n v="10945.3"/>
    <n v="5472.65"/>
  </r>
  <r>
    <x v="10"/>
    <x v="7"/>
    <n v="2"/>
    <n v="2917"/>
    <n v="13862.3"/>
    <n v="6931.15"/>
  </r>
  <r>
    <x v="10"/>
    <x v="8"/>
    <n v="2"/>
    <n v="8446.4500000000007"/>
    <n v="22308.75"/>
    <n v="11154.38"/>
  </r>
  <r>
    <x v="10"/>
    <x v="9"/>
    <n v="2"/>
    <n v="2840.5"/>
    <n v="25149.25"/>
    <n v="12574.63"/>
  </r>
  <r>
    <x v="10"/>
    <x v="10"/>
    <n v="2"/>
    <n v="1759.2"/>
    <n v="26908.45"/>
    <n v="13454.23"/>
  </r>
  <r>
    <x v="10"/>
    <x v="11"/>
    <n v="2"/>
    <n v="1335.07"/>
    <n v="28243.52"/>
    <n v="14121.76"/>
  </r>
  <r>
    <x v="11"/>
    <x v="0"/>
    <n v="2"/>
    <n v="1651.05"/>
    <n v="1651.05"/>
    <n v="825.53"/>
  </r>
  <r>
    <x v="11"/>
    <x v="4"/>
    <n v="2"/>
    <n v="844.25"/>
    <n v="2495.3000000000002"/>
    <n v="1247.6500000000001"/>
  </r>
  <r>
    <x v="11"/>
    <x v="5"/>
    <n v="2"/>
    <n v="536.4"/>
    <n v="3031.7"/>
    <n v="1515.85"/>
  </r>
  <r>
    <x v="11"/>
    <x v="7"/>
    <n v="2"/>
    <n v="237.9"/>
    <n v="3269.6"/>
    <n v="1634.8"/>
  </r>
  <r>
    <x v="11"/>
    <x v="8"/>
    <n v="2"/>
    <n v="1378.07"/>
    <n v="4647.67"/>
    <n v="2323.84"/>
  </r>
  <r>
    <x v="12"/>
    <x v="0"/>
    <n v="1"/>
    <n v="120"/>
    <n v="120"/>
    <n v="120"/>
  </r>
  <r>
    <x v="12"/>
    <x v="2"/>
    <n v="1"/>
    <n v="412.35"/>
    <n v="532.35"/>
    <n v="532.35"/>
  </r>
  <r>
    <x v="12"/>
    <x v="3"/>
    <n v="1"/>
    <n v="642"/>
    <n v="1174.3499999999999"/>
    <n v="1174.3499999999999"/>
  </r>
  <r>
    <x v="12"/>
    <x v="7"/>
    <n v="1"/>
    <n v="1401"/>
    <n v="2575.35"/>
    <n v="2575.35"/>
  </r>
  <r>
    <x v="12"/>
    <x v="9"/>
    <n v="1"/>
    <n v="586"/>
    <n v="3161.35"/>
    <n v="3161.35"/>
  </r>
  <r>
    <x v="13"/>
    <x v="0"/>
    <n v="2"/>
    <n v="2207.7399999999998"/>
    <n v="2207.7399999999998"/>
    <n v="1103.8699999999999"/>
  </r>
  <r>
    <x v="13"/>
    <x v="2"/>
    <n v="2"/>
    <n v="1208"/>
    <n v="3415.74"/>
    <n v="1707.87"/>
  </r>
  <r>
    <x v="13"/>
    <x v="4"/>
    <n v="2"/>
    <n v="228"/>
    <n v="3643.74"/>
    <n v="1821.87"/>
  </r>
  <r>
    <x v="13"/>
    <x v="5"/>
    <n v="2"/>
    <n v="845.8"/>
    <n v="4489.54"/>
    <n v="2244.77"/>
  </r>
  <r>
    <x v="13"/>
    <x v="7"/>
    <n v="2"/>
    <n v="471.2"/>
    <n v="4960.74"/>
    <n v="2480.37"/>
  </r>
  <r>
    <x v="13"/>
    <x v="8"/>
    <n v="2"/>
    <n v="1259.5"/>
    <n v="6220.24"/>
    <n v="3110.12"/>
  </r>
  <r>
    <x v="14"/>
    <x v="0"/>
    <n v="1"/>
    <n v="920.1"/>
    <n v="920.1"/>
    <n v="920.1"/>
  </r>
  <r>
    <x v="14"/>
    <x v="4"/>
    <n v="1"/>
    <n v="519"/>
    <n v="1439.1"/>
    <n v="1439.1"/>
  </r>
  <r>
    <x v="14"/>
    <x v="6"/>
    <n v="1"/>
    <n v="1733.06"/>
    <n v="3172.16"/>
    <n v="3172.16"/>
  </r>
  <r>
    <x v="15"/>
    <x v="0"/>
    <n v="1"/>
    <n v="52.35"/>
    <n v="52.35"/>
    <n v="52.35"/>
  </r>
  <r>
    <x v="15"/>
    <x v="3"/>
    <n v="1"/>
    <n v="108.5"/>
    <n v="160.85"/>
    <n v="160.85"/>
  </r>
  <r>
    <x v="15"/>
    <x v="4"/>
    <n v="1"/>
    <n v="2052.5"/>
    <n v="2213.35"/>
    <n v="2213.35"/>
  </r>
  <r>
    <x v="15"/>
    <x v="5"/>
    <n v="1"/>
    <n v="210"/>
    <n v="2423.35"/>
    <n v="2423.35"/>
  </r>
  <r>
    <x v="16"/>
    <x v="0"/>
    <n v="1"/>
    <n v="649"/>
    <n v="649"/>
    <n v="649"/>
  </r>
  <r>
    <x v="16"/>
    <x v="2"/>
    <n v="1"/>
    <n v="1343.05"/>
    <n v="1992.05"/>
    <n v="1992.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3B6CEF-4261-4603-A07E-59D6B3D843E3}" name="Сводная таблица6" cacheId="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3">
  <location ref="K1:L5" firstHeaderRow="1" firstDataRow="1" firstDataCol="1"/>
  <pivotFields count="6">
    <pivotField dataField="1" showAll="0"/>
    <pivotField showAll="0">
      <items count="78">
        <item x="7"/>
        <item x="70"/>
        <item x="20"/>
        <item x="4"/>
        <item x="8"/>
        <item x="34"/>
        <item x="24"/>
        <item x="36"/>
        <item x="46"/>
        <item x="58"/>
        <item x="76"/>
        <item x="0"/>
        <item x="56"/>
        <item x="69"/>
        <item x="19"/>
        <item x="75"/>
        <item x="74"/>
        <item x="5"/>
        <item x="27"/>
        <item x="52"/>
        <item x="71"/>
        <item x="62"/>
        <item x="15"/>
        <item x="39"/>
        <item x="18"/>
        <item x="53"/>
        <item x="16"/>
        <item x="31"/>
        <item x="11"/>
        <item x="44"/>
        <item x="59"/>
        <item x="25"/>
        <item x="73"/>
        <item x="72"/>
        <item x="29"/>
        <item x="68"/>
        <item x="6"/>
        <item x="47"/>
        <item x="40"/>
        <item x="51"/>
        <item x="10"/>
        <item x="32"/>
        <item x="35"/>
        <item x="66"/>
        <item x="41"/>
        <item x="38"/>
        <item x="21"/>
        <item x="22"/>
        <item x="17"/>
        <item x="33"/>
        <item x="37"/>
        <item x="2"/>
        <item x="50"/>
        <item x="48"/>
        <item x="64"/>
        <item x="63"/>
        <item x="9"/>
        <item x="54"/>
        <item x="26"/>
        <item x="43"/>
        <item x="45"/>
        <item x="12"/>
        <item x="42"/>
        <item x="28"/>
        <item x="55"/>
        <item x="30"/>
        <item x="3"/>
        <item x="57"/>
        <item x="1"/>
        <item x="49"/>
        <item x="60"/>
        <item x="61"/>
        <item x="13"/>
        <item x="67"/>
        <item x="23"/>
        <item x="14"/>
        <item x="65"/>
        <item t="default"/>
      </items>
    </pivotField>
    <pivotField numFmtId="10" showAll="0"/>
    <pivotField axis="axisRow" showAll="0">
      <items count="4">
        <item x="0"/>
        <item x="1"/>
        <item x="2"/>
        <item t="default"/>
      </items>
    </pivotField>
    <pivotField showAll="0">
      <items count="78">
        <item x="69"/>
        <item x="11"/>
        <item x="38"/>
        <item x="7"/>
        <item x="0"/>
        <item x="10"/>
        <item x="29"/>
        <item x="35"/>
        <item x="34"/>
        <item x="47"/>
        <item x="64"/>
        <item x="37"/>
        <item x="60"/>
        <item x="30"/>
        <item x="26"/>
        <item x="75"/>
        <item x="1"/>
        <item x="32"/>
        <item x="62"/>
        <item x="15"/>
        <item x="54"/>
        <item x="14"/>
        <item x="39"/>
        <item x="70"/>
        <item x="25"/>
        <item x="52"/>
        <item x="9"/>
        <item x="68"/>
        <item x="63"/>
        <item x="6"/>
        <item x="19"/>
        <item x="42"/>
        <item x="66"/>
        <item x="73"/>
        <item x="71"/>
        <item x="27"/>
        <item x="36"/>
        <item x="17"/>
        <item x="2"/>
        <item x="51"/>
        <item x="16"/>
        <item x="65"/>
        <item x="49"/>
        <item x="24"/>
        <item x="46"/>
        <item x="72"/>
        <item x="50"/>
        <item x="55"/>
        <item x="44"/>
        <item x="23"/>
        <item x="22"/>
        <item x="59"/>
        <item x="61"/>
        <item x="53"/>
        <item x="12"/>
        <item x="4"/>
        <item x="18"/>
        <item x="57"/>
        <item x="45"/>
        <item x="33"/>
        <item x="58"/>
        <item x="21"/>
        <item x="5"/>
        <item x="8"/>
        <item x="56"/>
        <item x="13"/>
        <item x="28"/>
        <item x="74"/>
        <item x="31"/>
        <item x="3"/>
        <item x="41"/>
        <item x="40"/>
        <item x="67"/>
        <item x="20"/>
        <item x="76"/>
        <item x="48"/>
        <item x="43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Количество по полю product_id" fld="0" subtotal="count" baseField="3" baseItem="0"/>
  </dataFields>
  <formats count="6"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3" type="button" dataOnly="0" labelOnly="1" outline="0" axis="axisRow" fieldPosition="0"/>
    </format>
    <format dxfId="96">
      <pivotArea dataOnly="0" labelOnly="1" fieldPosition="0">
        <references count="1">
          <reference field="3" count="0"/>
        </references>
      </pivotArea>
    </format>
    <format dxfId="95">
      <pivotArea dataOnly="0" labelOnly="1" grandRow="1" outline="0" fieldPosition="0"/>
    </format>
    <format dxfId="9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C95EE-7B49-4A09-A306-69F8B206F2CB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4">
  <location ref="L1:M10" firstHeaderRow="1" firstDataRow="1" firstDataCol="1"/>
  <pivotFields count="10">
    <pivotField dataField="1"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Количество по полю customer_id" fld="0" subtotal="count" baseField="0" baseItem="0"/>
  </dataFields>
  <formats count="6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3" type="button" dataOnly="0" labelOnly="1" outline="0" axis="axisRow" fieldPosition="0"/>
    </format>
    <format dxfId="70">
      <pivotArea dataOnly="0" labelOnly="1" fieldPosition="0">
        <references count="1">
          <reference field="3" count="0"/>
        </references>
      </pivotArea>
    </format>
    <format dxfId="69">
      <pivotArea dataOnly="0" labelOnly="1" grandRow="1" outline="0" fieldPosition="0"/>
    </format>
    <format dxfId="6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DFE58-5F3B-4C85-BC59-9F3C9A443B4C}" name="Сводная таблица1" cacheId="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0">
  <location ref="H3:L28" firstHeaderRow="1" firstDataRow="2" firstDataCol="1"/>
  <pivotFields count="6">
    <pivotField axis="axisCol" numFmtId="14" showAll="0">
      <items count="18">
        <item x="0"/>
        <item h="1" x="1"/>
        <item h="1" x="2"/>
        <item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0"/>
  </colFields>
  <colItems count="4">
    <i>
      <x/>
    </i>
    <i>
      <x v="3"/>
    </i>
    <i>
      <x v="6"/>
    </i>
    <i t="grand">
      <x/>
    </i>
  </colItems>
  <dataFields count="1">
    <dataField name="Сумма по полю ltv" fld="5" baseField="0" baseItem="0"/>
  </dataFields>
  <formats count="1">
    <format dxfId="53">
      <pivotArea type="all" dataOnly="0" outline="0" fieldPosition="0"/>
    </format>
  </formats>
  <chartFormats count="42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6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6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6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6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6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6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6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6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6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147589-00D9-4DA2-BF14-BEF76BC683AA}" name="Таблица4" displayName="Таблица4" ref="A1:E24" totalsRowShown="0" headerRowDxfId="108" headerRowBorderDxfId="107" tableBorderDxfId="106" totalsRowBorderDxfId="105">
  <autoFilter ref="A1:E24" xr:uid="{F6147589-00D9-4DA2-BF14-BEF76BC683AA}"/>
  <tableColumns count="5">
    <tableColumn id="1" xr3:uid="{823AC2B2-FEA4-4F54-980C-526F5BC8F52B}" name="month" dataDxfId="104"/>
    <tableColumn id="2" xr3:uid="{C554B24E-2C55-4632-92D5-B1CED71D7E09}" name="total_monthly_revenue" dataDxfId="103"/>
    <tableColumn id="3" xr3:uid="{1DC142FF-F517-49F9-8FA8-13CB1952CB53}" name="prev_month_revenue" dataDxfId="102"/>
    <tableColumn id="4" xr3:uid="{52FA951B-C1BF-44B8-A553-35DE1924577D}" name="revenue_increase" dataDxfId="101"/>
    <tableColumn id="5" xr3:uid="{157AC903-020B-43A3-8E0E-6EE686090D31}" name="Столбец1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DCF0E1-8F6B-4125-A32F-EF19875FEACE}" name="Таблица3" displayName="Таблица3" ref="A1:I78" totalsRowShown="0" headerRowDxfId="93" headerRowBorderDxfId="92" tableBorderDxfId="91" totalsRowBorderDxfId="90">
  <autoFilter ref="A1:I78" xr:uid="{23DCF0E1-8F6B-4125-A32F-EF19875FEACE}"/>
  <tableColumns count="9">
    <tableColumn id="1" xr3:uid="{C144CF61-5B29-409E-9ADF-CD3D58933ECC}" name="product_id" dataDxfId="89"/>
    <tableColumn id="2" xr3:uid="{7A1E91FE-C088-4519-83A3-637B9A2CA2DD}" name="product_name" dataDxfId="88"/>
    <tableColumn id="3" xr3:uid="{F9C6665C-48B6-44F4-B52B-496CA90550CF}" name="cumulative_share" dataDxfId="87" dataCellStyle="Процентный"/>
    <tableColumn id="4" xr3:uid="{BAC5469C-3652-40EA-A846-9DAA3265704F}" name="category" dataDxfId="86"/>
    <tableColumn id="5" xr3:uid="{73D194F8-0DDC-448A-B1AC-CCD85F108A02}" name="product_revenue" dataDxfId="85"/>
    <tableColumn id="6" xr3:uid="{E3950C6A-FF64-4973-BA79-36E71422F13A}" name="total_revenue" dataDxfId="84"/>
    <tableColumn id="7" xr3:uid="{A5F5AD6B-3683-4286-8E1B-89C809B89A45}" name="Столбец1"/>
    <tableColumn id="8" xr3:uid="{6E404F64-3D51-4491-B8F5-BCB43058327F}" name="Столбец2"/>
    <tableColumn id="9" xr3:uid="{7A2B049C-6F83-41CC-B11F-3D688E3CF511}" name="Столбец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B85001A-440B-4A76-85FC-0E0538070801}" name="Таблица9" displayName="Таблица9" ref="K63:P71" totalsRowShown="0" headerRowDxfId="83" headerRowBorderDxfId="82" tableBorderDxfId="81" totalsRowBorderDxfId="80">
  <autoFilter ref="K63:P71" xr:uid="{BB85001A-440B-4A76-85FC-0E0538070801}"/>
  <tableColumns count="6">
    <tableColumn id="1" xr3:uid="{6AEFAC13-6EC4-4B52-9432-C87ECE9B6091}" name="category_id" dataDxfId="79"/>
    <tableColumn id="2" xr3:uid="{B10B4DBC-FD8F-4D76-9764-FA84FE6AED6C}" name="category_name" dataDxfId="78"/>
    <tableColumn id="3" xr3:uid="{181169D0-E386-4739-896A-06C1074DC825}" name="revenue" dataDxfId="77"/>
    <tableColumn id="4" xr3:uid="{58D32DED-57BF-437B-B078-780409B55BC0}" name="revenue_share" dataDxfId="76"/>
    <tableColumn id="5" xr3:uid="{8F4D3ADA-91DF-4DA8-892D-E25BF579AE0A}" name="cumulative_share" dataDxfId="75" dataCellStyle="Процентный"/>
    <tableColumn id="6" xr3:uid="{153C02E7-50D0-45AB-8266-EA58632AB263}" name="abc_category" dataDxfId="7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976DED-F772-4A65-9798-54FE70FF1DF2}" name="Таблица1" displayName="Таблица1" ref="A1:J92" totalsRowShown="0" headerRowDxfId="67" headerRowBorderDxfId="66" tableBorderDxfId="65" totalsRowBorderDxfId="64">
  <autoFilter ref="A1:J92" xr:uid="{39976DED-F772-4A65-9798-54FE70FF1DF2}"/>
  <sortState xmlns:xlrd2="http://schemas.microsoft.com/office/spreadsheetml/2017/richdata2" ref="A2:J92">
    <sortCondition ref="D2:D92" customList="VIP,Loyal,Promising,New,Needs attention,Cant loose them,Hibernating,Lost"/>
  </sortState>
  <tableColumns count="10">
    <tableColumn id="1" xr3:uid="{47CC2200-09F8-4E56-8BD3-D2AFE95986DF}" name="customer_id" dataDxfId="63"/>
    <tableColumn id="2" xr3:uid="{2223BDE1-91BF-4C6E-AF6C-C3B538D31BDD}" name="company_name" dataDxfId="62"/>
    <tableColumn id="3" xr3:uid="{FC204B36-B933-44B6-A0CB-6DE0A63ACDD4}" name="rfm_customer_score" dataDxfId="61"/>
    <tableColumn id="4" xr3:uid="{5608BB66-2C37-471B-B07B-D7A6C56F7737}" name="customer_category" dataDxfId="60"/>
    <tableColumn id="5" xr3:uid="{10F6BAAB-D2B1-4AE8-A74F-AE54CD8EE9F5}" name="recency" dataDxfId="59"/>
    <tableColumn id="6" xr3:uid="{760D36EF-4086-45FC-AD0E-481A6B028793}" name="frequency" dataDxfId="58"/>
    <tableColumn id="7" xr3:uid="{A01A992A-6C92-4F3A-8499-7760B9E53975}" name="monetary" dataDxfId="57"/>
    <tableColumn id="8" xr3:uid="{504A81D7-9249-4749-B8DE-A355899C681C}" name="recency_score" dataDxfId="56"/>
    <tableColumn id="9" xr3:uid="{15362D59-F315-4E9B-837A-68074E0BCCEF}" name="frequency_score" dataDxfId="55"/>
    <tableColumn id="10" xr3:uid="{3DC3A4AD-FC2E-4D6C-BD96-1164A04ACE60}" name="monetary_score" dataDxfId="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93A858-5106-4A63-A188-8DD87E3498AE}" name="Таблица2" displayName="Таблица2" ref="A1:F184" totalsRowShown="0" headerRowDxfId="52" headerRowBorderDxfId="51" tableBorderDxfId="50" totalsRowBorderDxfId="49">
  <autoFilter ref="A1:F184" xr:uid="{A393A858-5106-4A63-A188-8DD87E3498AE}"/>
  <tableColumns count="6">
    <tableColumn id="1" xr3:uid="{EFC7871E-D757-47FF-9B2B-2B82F1017716}" name="cohort" dataDxfId="48"/>
    <tableColumn id="2" xr3:uid="{696A09C0-4CD6-40CE-A853-039477D8DEE4}" name="month_number" dataDxfId="47"/>
    <tableColumn id="3" xr3:uid="{841E599E-0B7E-4AF4-AFF6-F5184E5831C3}" name="cohort_size" dataDxfId="46"/>
    <tableColumn id="4" xr3:uid="{48C2A7CD-9AFD-403F-B8F4-3C69463D0470}" name="month_revenue" dataDxfId="45"/>
    <tableColumn id="5" xr3:uid="{8800A90F-83F7-4096-83CE-1A05A774D5B4}" name="cumulative_revenue" dataDxfId="44"/>
    <tableColumn id="6" xr3:uid="{F612A2B8-A914-4640-8B5A-E667EF739D5D}" name="ltv" dataDxfId="4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E986A7-EB14-494F-BF17-9122DD108263}" name="Таблица5" displayName="Таблица5" ref="A1:K78" totalsRowShown="0" headerRowDxfId="42" tableBorderDxfId="41">
  <autoFilter ref="A1:K78" xr:uid="{11E986A7-EB14-494F-BF17-9122DD108263}"/>
  <sortState xmlns:xlrd2="http://schemas.microsoft.com/office/spreadsheetml/2017/richdata2" ref="A2:K78">
    <sortCondition descending="1" ref="K1:K78"/>
  </sortState>
  <tableColumns count="11">
    <tableColumn id="1" xr3:uid="{CA1034C0-8D22-404B-A1F7-F666729BC8CE}" name="product_id" dataDxfId="40"/>
    <tableColumn id="2" xr3:uid="{799510B2-554B-4C61-ADA5-EDE6DCCE6119}" name="product_name" dataDxfId="39"/>
    <tableColumn id="3" xr3:uid="{BBE30701-D648-438D-90D9-3867301DA980}" name="category_name" dataDxfId="38"/>
    <tableColumn id="4" xr3:uid="{7C31B335-FC73-42FA-8EAF-C5BE18DF4370}" name="company_name" dataDxfId="37"/>
    <tableColumn id="5" xr3:uid="{59ABF5FC-07FE-47CB-9F31-E3516C006069}" name="units_in_stock" dataDxfId="36"/>
    <tableColumn id="6" xr3:uid="{F5EB41A3-312B-4975-994D-FF0F5478D134}" name="units_on_order" dataDxfId="35"/>
    <tableColumn id="7" xr3:uid="{67E7419A-C26A-4F23-A5A7-C56B87227D00}" name="reorder_level" dataDxfId="34"/>
    <tableColumn id="8" xr3:uid="{F5AF0017-E7D5-4B82-B817-AB786FB0135B}" name="unit_price" dataDxfId="33"/>
    <tableColumn id="9" xr3:uid="{6C3FDE70-8016-455A-A362-D23E264046F7}" name="stock_value" dataDxfId="32"/>
    <tableColumn id="10" xr3:uid="{97B2D3AF-F909-4A5F-8300-AB1A0AA35EC4}" name="ordered_value" dataDxfId="31"/>
    <tableColumn id="11" xr3:uid="{DD9BC9D6-A33F-4D2B-A0E8-E2485E8E1A38}" name="stock_status" dataDxfId="3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D78BE5-70E7-4B8D-8E9A-A6E0F601420D}" name="Таблица6" displayName="Таблица6" ref="M1:P9" totalsRowShown="0" headerRowDxfId="29" headerRowBorderDxfId="28" tableBorderDxfId="27" totalsRowBorderDxfId="26">
  <autoFilter ref="M1:P9" xr:uid="{79D78BE5-70E7-4B8D-8E9A-A6E0F601420D}"/>
  <tableColumns count="4">
    <tableColumn id="1" xr3:uid="{C9AE4897-D397-4060-95AF-B0677EEFD5F9}" name="category_name" dataDxfId="25"/>
    <tableColumn id="2" xr3:uid="{4944366F-446C-4D34-A68B-ABA5CAB15147}" name="products_total" dataDxfId="24"/>
    <tableColumn id="3" xr3:uid="{B9DE44FB-7F26-48A5-B888-337EDDE297D2}" name="category_stock_value" dataDxfId="23"/>
    <tableColumn id="4" xr3:uid="{4A009A6D-E10E-47EF-80CC-952308068676}" name="products_to_reorder" dataDxfId="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17716F-4183-4209-A437-7EB5F987EFD7}" name="Таблица7" displayName="Таблица7" ref="A1:G4" totalsRowShown="0" headerRowDxfId="21" headerRowBorderDxfId="20" tableBorderDxfId="19" totalsRowBorderDxfId="18">
  <autoFilter ref="A1:G4" xr:uid="{2F17716F-4183-4209-A437-7EB5F987EFD7}"/>
  <tableColumns count="7">
    <tableColumn id="1" xr3:uid="{7980C447-8432-4738-9D2F-84D29BDCC025}" name="shipper_id" dataDxfId="17"/>
    <tableColumn id="2" xr3:uid="{A3DE8003-8D69-4033-BA4B-B4A7C33B0015}" name="company_name" dataDxfId="16"/>
    <tableColumn id="3" xr3:uid="{B15BF4FC-02FD-430A-9A38-CC436F58EB36}" name="orders_total" dataDxfId="15"/>
    <tableColumn id="4" xr3:uid="{649277BA-FA2C-48BE-9EE3-48918A35CACC}" name="total_late_orders" dataDxfId="14"/>
    <tableColumn id="5" xr3:uid="{D1FAC80B-DBC4-40FD-B8E1-CCDA9A5D159C}" name="late_orders_share" dataDxfId="13" dataCellStyle="Процентный"/>
    <tableColumn id="6" xr3:uid="{8199B611-1F8E-451F-832D-B3D57AE447A9}" name="avg_freight" dataDxfId="12"/>
    <tableColumn id="7" xr3:uid="{8D8B0A62-C66B-4B52-87D3-B56DF5114489}" name="transportation_costs" dataDxfId="1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24FB16-5365-4BC4-BF19-B6A9D9A3E434}" name="Таблица8" displayName="Таблица8" ref="A1:G10" totalsRowShown="0" headerRowDxfId="10" headerRowBorderDxfId="9" tableBorderDxfId="8" totalsRowBorderDxfId="7">
  <autoFilter ref="A1:G10" xr:uid="{9524FB16-5365-4BC4-BF19-B6A9D9A3E434}"/>
  <sortState xmlns:xlrd2="http://schemas.microsoft.com/office/spreadsheetml/2017/richdata2" ref="A2:G10">
    <sortCondition ref="G1:G10"/>
  </sortState>
  <tableColumns count="7">
    <tableColumn id="1" xr3:uid="{500D7F0A-F2C5-425B-B9E8-59FA127D9DB9}" name="employee_id" dataDxfId="6"/>
    <tableColumn id="2" xr3:uid="{3D770C3F-912E-44A6-97BE-E0E0F87D7975}" name="employee" dataDxfId="5"/>
    <tableColumn id="3" xr3:uid="{63DFF80F-5EDE-4F1E-B00F-50526D658C9F}" name="emp_orders" dataDxfId="4"/>
    <tableColumn id="4" xr3:uid="{4CE532A9-5585-48D4-B84C-0D27B6D80F12}" name="emp_revenue" dataDxfId="3"/>
    <tableColumn id="5" xr3:uid="{AA466581-4C51-45A5-839A-22DAEA307874}" name="avg_check" dataDxfId="2"/>
    <tableColumn id="6" xr3:uid="{D1104FB5-6A04-4CBF-81BE-7496ADBFB9AF}" name="emp_share" dataDxfId="1" dataCellStyle="Процентный"/>
    <tableColumn id="7" xr3:uid="{5D12CD36-1C67-417F-9EF9-A08D3C3D3FD0}" name="emp_ra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zoomScale="130" zoomScaleNormal="130" workbookViewId="0">
      <selection activeCell="B29" sqref="B29"/>
    </sheetView>
  </sheetViews>
  <sheetFormatPr defaultRowHeight="15" x14ac:dyDescent="0.25"/>
  <cols>
    <col min="1" max="1" width="10.85546875" bestFit="1" customWidth="1"/>
    <col min="2" max="2" width="24.140625" customWidth="1"/>
    <col min="3" max="3" width="22.42578125" customWidth="1"/>
    <col min="4" max="4" width="19" customWidth="1"/>
  </cols>
  <sheetData>
    <row r="1" spans="1:5" x14ac:dyDescent="0.25">
      <c r="A1" s="41" t="s">
        <v>0</v>
      </c>
      <c r="B1" s="42" t="s">
        <v>1</v>
      </c>
      <c r="C1" s="42" t="s">
        <v>2</v>
      </c>
      <c r="D1" s="42" t="s">
        <v>3</v>
      </c>
      <c r="E1" s="43" t="s">
        <v>466</v>
      </c>
    </row>
    <row r="2" spans="1:5" x14ac:dyDescent="0.25">
      <c r="A2" s="8">
        <v>35247</v>
      </c>
      <c r="B2" s="2">
        <v>27861.89</v>
      </c>
      <c r="C2" s="2"/>
      <c r="D2" s="22"/>
      <c r="E2" s="4"/>
    </row>
    <row r="3" spans="1:5" x14ac:dyDescent="0.25">
      <c r="A3" s="8">
        <v>35278</v>
      </c>
      <c r="B3" s="2">
        <v>25485.27</v>
      </c>
      <c r="C3" s="2">
        <v>27861.89</v>
      </c>
      <c r="D3" s="22">
        <v>-0.09</v>
      </c>
      <c r="E3" s="4">
        <v>0</v>
      </c>
    </row>
    <row r="4" spans="1:5" x14ac:dyDescent="0.25">
      <c r="A4" s="8">
        <v>35309</v>
      </c>
      <c r="B4" s="2">
        <v>26381.4</v>
      </c>
      <c r="C4" s="2">
        <v>25485.27</v>
      </c>
      <c r="D4" s="22">
        <v>0.04</v>
      </c>
      <c r="E4" s="4">
        <v>0</v>
      </c>
    </row>
    <row r="5" spans="1:5" x14ac:dyDescent="0.25">
      <c r="A5" s="8">
        <v>35339</v>
      </c>
      <c r="B5" s="2">
        <v>37515.72</v>
      </c>
      <c r="C5" s="2">
        <v>26381.4</v>
      </c>
      <c r="D5" s="22">
        <v>0.42</v>
      </c>
      <c r="E5" s="4">
        <v>0</v>
      </c>
    </row>
    <row r="6" spans="1:5" x14ac:dyDescent="0.25">
      <c r="A6" s="8">
        <v>35370</v>
      </c>
      <c r="B6" s="2">
        <v>45600.04</v>
      </c>
      <c r="C6" s="2">
        <v>37515.72</v>
      </c>
      <c r="D6" s="22">
        <v>0.22</v>
      </c>
      <c r="E6" s="4">
        <v>0</v>
      </c>
    </row>
    <row r="7" spans="1:5" x14ac:dyDescent="0.25">
      <c r="A7" s="8">
        <v>35400</v>
      </c>
      <c r="B7" s="2">
        <v>45239.63</v>
      </c>
      <c r="C7" s="2">
        <v>45600.04</v>
      </c>
      <c r="D7" s="22">
        <v>-0.01</v>
      </c>
      <c r="E7" s="4">
        <v>0</v>
      </c>
    </row>
    <row r="8" spans="1:5" x14ac:dyDescent="0.25">
      <c r="A8" s="8">
        <v>35431</v>
      </c>
      <c r="B8" s="2">
        <v>61258.06</v>
      </c>
      <c r="C8" s="2">
        <v>45239.63</v>
      </c>
      <c r="D8" s="22">
        <v>0.35</v>
      </c>
      <c r="E8" s="4">
        <v>0</v>
      </c>
    </row>
    <row r="9" spans="1:5" x14ac:dyDescent="0.25">
      <c r="A9" s="8">
        <v>35462</v>
      </c>
      <c r="B9" s="2">
        <v>38483.629999999997</v>
      </c>
      <c r="C9" s="2">
        <v>61258.06</v>
      </c>
      <c r="D9" s="22">
        <v>-0.37</v>
      </c>
      <c r="E9" s="4">
        <v>0</v>
      </c>
    </row>
    <row r="10" spans="1:5" x14ac:dyDescent="0.25">
      <c r="A10" s="8">
        <v>35490</v>
      </c>
      <c r="B10" s="2">
        <v>38547.21</v>
      </c>
      <c r="C10" s="2">
        <v>38483.629999999997</v>
      </c>
      <c r="D10" s="22">
        <v>0</v>
      </c>
      <c r="E10" s="4">
        <v>0</v>
      </c>
    </row>
    <row r="11" spans="1:5" x14ac:dyDescent="0.25">
      <c r="A11" s="8">
        <v>35521</v>
      </c>
      <c r="B11" s="2">
        <v>53032.95</v>
      </c>
      <c r="C11" s="2">
        <v>38547.21</v>
      </c>
      <c r="D11" s="22">
        <v>0.38</v>
      </c>
      <c r="E11" s="4">
        <v>0</v>
      </c>
    </row>
    <row r="12" spans="1:5" x14ac:dyDescent="0.25">
      <c r="A12" s="8">
        <v>35551</v>
      </c>
      <c r="B12" s="2">
        <v>53781.29</v>
      </c>
      <c r="C12" s="2">
        <v>53032.95</v>
      </c>
      <c r="D12" s="22">
        <v>0.01</v>
      </c>
      <c r="E12" s="4">
        <v>0</v>
      </c>
    </row>
    <row r="13" spans="1:5" x14ac:dyDescent="0.25">
      <c r="A13" s="8">
        <v>35582</v>
      </c>
      <c r="B13" s="2">
        <v>36362.79</v>
      </c>
      <c r="C13" s="2">
        <v>53781.29</v>
      </c>
      <c r="D13" s="22">
        <v>-0.32</v>
      </c>
      <c r="E13" s="4">
        <v>0</v>
      </c>
    </row>
    <row r="14" spans="1:5" x14ac:dyDescent="0.25">
      <c r="A14" s="8">
        <v>35612</v>
      </c>
      <c r="B14" s="2">
        <v>51020.84</v>
      </c>
      <c r="C14" s="2">
        <v>36362.79</v>
      </c>
      <c r="D14" s="22">
        <v>0.4</v>
      </c>
      <c r="E14" s="4">
        <v>0</v>
      </c>
    </row>
    <row r="15" spans="1:5" x14ac:dyDescent="0.25">
      <c r="A15" s="8">
        <v>35643</v>
      </c>
      <c r="B15" s="2">
        <v>47287.67</v>
      </c>
      <c r="C15" s="2">
        <v>51020.84</v>
      </c>
      <c r="D15" s="22">
        <v>-7.0000000000000007E-2</v>
      </c>
      <c r="E15" s="4">
        <v>0</v>
      </c>
    </row>
    <row r="16" spans="1:5" x14ac:dyDescent="0.25">
      <c r="A16" s="8">
        <v>35674</v>
      </c>
      <c r="B16" s="2">
        <v>55629.23</v>
      </c>
      <c r="C16" s="2">
        <v>47287.67</v>
      </c>
      <c r="D16" s="22">
        <v>0.18</v>
      </c>
      <c r="E16" s="4">
        <v>0</v>
      </c>
    </row>
    <row r="17" spans="1:5" x14ac:dyDescent="0.25">
      <c r="A17" s="8">
        <v>35704</v>
      </c>
      <c r="B17" s="2">
        <v>66749.240000000005</v>
      </c>
      <c r="C17" s="2">
        <v>55629.23</v>
      </c>
      <c r="D17" s="22">
        <v>0.2</v>
      </c>
      <c r="E17" s="4">
        <v>0</v>
      </c>
    </row>
    <row r="18" spans="1:5" x14ac:dyDescent="0.25">
      <c r="A18" s="8">
        <v>35735</v>
      </c>
      <c r="B18" s="2">
        <v>43533.79</v>
      </c>
      <c r="C18" s="2">
        <v>66749.240000000005</v>
      </c>
      <c r="D18" s="22">
        <v>-0.35</v>
      </c>
      <c r="E18" s="4">
        <v>0</v>
      </c>
    </row>
    <row r="19" spans="1:5" x14ac:dyDescent="0.25">
      <c r="A19" s="8">
        <v>35765</v>
      </c>
      <c r="B19" s="2">
        <v>71398.41</v>
      </c>
      <c r="C19" s="2">
        <v>43533.79</v>
      </c>
      <c r="D19" s="22">
        <v>0.64</v>
      </c>
      <c r="E19" s="4">
        <v>0</v>
      </c>
    </row>
    <row r="20" spans="1:5" x14ac:dyDescent="0.25">
      <c r="A20" s="8">
        <v>35796</v>
      </c>
      <c r="B20" s="2">
        <v>94222.12</v>
      </c>
      <c r="C20" s="2">
        <v>71398.41</v>
      </c>
      <c r="D20" s="22">
        <v>0.32</v>
      </c>
      <c r="E20" s="4">
        <v>0</v>
      </c>
    </row>
    <row r="21" spans="1:5" x14ac:dyDescent="0.25">
      <c r="A21" s="8">
        <v>35827</v>
      </c>
      <c r="B21" s="2">
        <v>99415.29</v>
      </c>
      <c r="C21" s="2">
        <v>94222.12</v>
      </c>
      <c r="D21" s="22">
        <v>0.06</v>
      </c>
      <c r="E21" s="4">
        <v>0</v>
      </c>
    </row>
    <row r="22" spans="1:5" x14ac:dyDescent="0.25">
      <c r="A22" s="8">
        <v>35855</v>
      </c>
      <c r="B22" s="2">
        <v>104854.15</v>
      </c>
      <c r="C22" s="2">
        <v>99415.29</v>
      </c>
      <c r="D22" s="22">
        <v>0.05</v>
      </c>
      <c r="E22" s="4">
        <v>0</v>
      </c>
    </row>
    <row r="23" spans="1:5" x14ac:dyDescent="0.25">
      <c r="A23" s="8">
        <v>35886</v>
      </c>
      <c r="B23" s="2">
        <v>123798.69</v>
      </c>
      <c r="C23" s="2">
        <v>104854.15</v>
      </c>
      <c r="D23" s="22">
        <v>0.18</v>
      </c>
      <c r="E23" s="4">
        <v>0</v>
      </c>
    </row>
    <row r="24" spans="1:5" x14ac:dyDescent="0.25">
      <c r="A24" s="9">
        <v>35916</v>
      </c>
      <c r="B24" s="6">
        <v>18333.64</v>
      </c>
      <c r="C24" s="6">
        <v>123798.69</v>
      </c>
      <c r="D24" s="23">
        <v>-0.85</v>
      </c>
      <c r="E24" s="7">
        <v>0</v>
      </c>
    </row>
    <row r="25" spans="1:5" x14ac:dyDescent="0.25">
      <c r="B25">
        <f>SUM(Таблица4[total_monthly_revenue])</f>
        <v>1265792.95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8"/>
  <sheetViews>
    <sheetView tabSelected="1" topLeftCell="D37" zoomScale="120" zoomScaleNormal="120" workbookViewId="0">
      <selection activeCell="O52" sqref="O52"/>
    </sheetView>
  </sheetViews>
  <sheetFormatPr defaultRowHeight="15" x14ac:dyDescent="0.25"/>
  <cols>
    <col min="1" max="1" width="12.7109375" customWidth="1"/>
    <col min="2" max="2" width="31.85546875" bestFit="1" customWidth="1"/>
    <col min="3" max="3" width="18.85546875" style="1" customWidth="1"/>
    <col min="4" max="4" width="10.7109375" customWidth="1"/>
    <col min="5" max="5" width="18.42578125" customWidth="1"/>
    <col min="6" max="9" width="15.7109375" customWidth="1"/>
    <col min="11" max="11" width="17.28515625" bestFit="1" customWidth="1"/>
    <col min="12" max="12" width="30.42578125" bestFit="1" customWidth="1"/>
    <col min="13" max="13" width="10.5703125" customWidth="1"/>
    <col min="14" max="14" width="16.42578125" customWidth="1"/>
    <col min="15" max="15" width="18.85546875" customWidth="1"/>
    <col min="16" max="16" width="14.7109375" customWidth="1"/>
    <col min="17" max="20" width="8.5703125" bestFit="1" customWidth="1"/>
    <col min="21" max="21" width="7.5703125" bestFit="1" customWidth="1"/>
    <col min="22" max="22" width="8.5703125" bestFit="1" customWidth="1"/>
    <col min="23" max="23" width="9.5703125" bestFit="1" customWidth="1"/>
    <col min="24" max="28" width="8.5703125" bestFit="1" customWidth="1"/>
    <col min="29" max="29" width="7.5703125" bestFit="1" customWidth="1"/>
    <col min="30" max="32" width="8.5703125" bestFit="1" customWidth="1"/>
    <col min="33" max="33" width="7.5703125" bestFit="1" customWidth="1"/>
    <col min="34" max="43" width="8.5703125" bestFit="1" customWidth="1"/>
    <col min="44" max="45" width="7.5703125" bestFit="1" customWidth="1"/>
    <col min="46" max="47" width="8.5703125" bestFit="1" customWidth="1"/>
    <col min="48" max="48" width="7.5703125" bestFit="1" customWidth="1"/>
    <col min="49" max="49" width="8.5703125" bestFit="1" customWidth="1"/>
    <col min="50" max="51" width="7.5703125" bestFit="1" customWidth="1"/>
    <col min="52" max="52" width="8.5703125" bestFit="1" customWidth="1"/>
    <col min="53" max="57" width="7.5703125" bestFit="1" customWidth="1"/>
    <col min="58" max="59" width="8.5703125" bestFit="1" customWidth="1"/>
    <col min="60" max="62" width="7.5703125" bestFit="1" customWidth="1"/>
    <col min="63" max="64" width="8.5703125" bestFit="1" customWidth="1"/>
    <col min="65" max="71" width="7.5703125" bestFit="1" customWidth="1"/>
    <col min="72" max="72" width="8.5703125" bestFit="1" customWidth="1"/>
    <col min="73" max="77" width="7.5703125" bestFit="1" customWidth="1"/>
    <col min="78" max="78" width="8.5703125" bestFit="1" customWidth="1"/>
    <col min="79" max="88" width="7.5703125" bestFit="1" customWidth="1"/>
    <col min="89" max="89" width="11.85546875" bestFit="1" customWidth="1"/>
  </cols>
  <sheetData>
    <row r="1" spans="1:15" x14ac:dyDescent="0.25">
      <c r="A1" s="41" t="s">
        <v>84</v>
      </c>
      <c r="B1" s="42" t="s">
        <v>85</v>
      </c>
      <c r="C1" s="47" t="s">
        <v>86</v>
      </c>
      <c r="D1" s="42" t="s">
        <v>87</v>
      </c>
      <c r="E1" s="42" t="s">
        <v>88</v>
      </c>
      <c r="F1" s="43" t="s">
        <v>89</v>
      </c>
      <c r="G1" s="42" t="s">
        <v>466</v>
      </c>
      <c r="H1" s="42" t="s">
        <v>468</v>
      </c>
      <c r="I1" s="42" t="s">
        <v>469</v>
      </c>
      <c r="K1" s="20" t="s">
        <v>463</v>
      </c>
      <c r="L1" s="2" t="s">
        <v>467</v>
      </c>
    </row>
    <row r="2" spans="1:15" x14ac:dyDescent="0.25">
      <c r="A2" s="3">
        <v>38</v>
      </c>
      <c r="B2" s="2" t="s">
        <v>4</v>
      </c>
      <c r="C2" s="18">
        <v>0.11169999999999999</v>
      </c>
      <c r="D2" s="2" t="s">
        <v>5</v>
      </c>
      <c r="E2" s="2">
        <v>12788.1</v>
      </c>
      <c r="F2" s="4">
        <v>1265793.04</v>
      </c>
      <c r="G2" s="25">
        <v>0.8</v>
      </c>
      <c r="H2" s="25">
        <v>0.95</v>
      </c>
      <c r="I2" s="25">
        <v>1</v>
      </c>
      <c r="K2" s="21" t="s">
        <v>5</v>
      </c>
      <c r="L2" s="12">
        <v>35</v>
      </c>
      <c r="N2" s="21" t="s">
        <v>5</v>
      </c>
      <c r="O2" s="12">
        <v>35</v>
      </c>
    </row>
    <row r="3" spans="1:15" x14ac:dyDescent="0.25">
      <c r="A3" s="3">
        <v>29</v>
      </c>
      <c r="B3" s="2" t="s">
        <v>6</v>
      </c>
      <c r="C3" s="18">
        <v>0.17519999999999999</v>
      </c>
      <c r="D3" s="2" t="s">
        <v>5</v>
      </c>
      <c r="E3" s="2">
        <v>16355.96</v>
      </c>
      <c r="F3" s="4">
        <v>1265793.04</v>
      </c>
      <c r="G3" s="25">
        <v>0.8</v>
      </c>
      <c r="H3" s="25">
        <v>0.95</v>
      </c>
      <c r="I3" s="25">
        <v>1</v>
      </c>
      <c r="K3" s="21" t="s">
        <v>41</v>
      </c>
      <c r="L3" s="12">
        <v>23</v>
      </c>
      <c r="N3" s="21" t="s">
        <v>41</v>
      </c>
      <c r="O3" s="12">
        <v>23</v>
      </c>
    </row>
    <row r="4" spans="1:15" x14ac:dyDescent="0.25">
      <c r="A4" s="3">
        <v>59</v>
      </c>
      <c r="B4" s="2" t="s">
        <v>7</v>
      </c>
      <c r="C4" s="18">
        <v>0.23139999999999999</v>
      </c>
      <c r="D4" s="2" t="s">
        <v>5</v>
      </c>
      <c r="E4" s="2">
        <v>3044</v>
      </c>
      <c r="F4" s="4">
        <v>1265793.04</v>
      </c>
      <c r="G4" s="25">
        <v>0.8</v>
      </c>
      <c r="H4" s="25">
        <v>0.95</v>
      </c>
      <c r="I4" s="25">
        <v>1</v>
      </c>
      <c r="K4" s="21" t="s">
        <v>65</v>
      </c>
      <c r="L4" s="12">
        <v>19</v>
      </c>
      <c r="N4" s="21" t="s">
        <v>65</v>
      </c>
      <c r="O4" s="12">
        <v>19</v>
      </c>
    </row>
    <row r="5" spans="1:15" x14ac:dyDescent="0.25">
      <c r="A5" s="3">
        <v>62</v>
      </c>
      <c r="B5" s="2" t="s">
        <v>8</v>
      </c>
      <c r="C5" s="18">
        <v>0.26869999999999999</v>
      </c>
      <c r="D5" s="2" t="s">
        <v>5</v>
      </c>
      <c r="E5" s="2">
        <v>8567.9</v>
      </c>
      <c r="F5" s="4">
        <v>1265793.04</v>
      </c>
      <c r="G5" s="25">
        <v>0.8</v>
      </c>
      <c r="H5" s="25">
        <v>0.95</v>
      </c>
      <c r="I5" s="25">
        <v>1</v>
      </c>
      <c r="K5" s="21" t="s">
        <v>464</v>
      </c>
      <c r="L5" s="12">
        <v>77</v>
      </c>
    </row>
    <row r="6" spans="1:15" x14ac:dyDescent="0.25">
      <c r="A6" s="3">
        <v>60</v>
      </c>
      <c r="B6" s="2" t="s">
        <v>9</v>
      </c>
      <c r="C6" s="18">
        <v>0.30570000000000003</v>
      </c>
      <c r="D6" s="2" t="s">
        <v>5</v>
      </c>
      <c r="E6" s="2">
        <v>5347.2</v>
      </c>
      <c r="F6" s="4">
        <v>1265793.04</v>
      </c>
      <c r="G6" s="25">
        <v>0.8</v>
      </c>
      <c r="H6" s="25">
        <v>0.95</v>
      </c>
      <c r="I6" s="25">
        <v>1</v>
      </c>
    </row>
    <row r="7" spans="1:15" x14ac:dyDescent="0.25">
      <c r="A7" s="3">
        <v>56</v>
      </c>
      <c r="B7" s="2" t="s">
        <v>10</v>
      </c>
      <c r="C7" s="18">
        <v>0.33929999999999999</v>
      </c>
      <c r="D7" s="2" t="s">
        <v>5</v>
      </c>
      <c r="E7" s="2">
        <v>7137</v>
      </c>
      <c r="F7" s="4">
        <v>1265793.04</v>
      </c>
      <c r="G7" s="25">
        <v>0.8</v>
      </c>
      <c r="H7" s="25">
        <v>0.95</v>
      </c>
      <c r="I7" s="25">
        <v>1</v>
      </c>
    </row>
    <row r="8" spans="1:15" x14ac:dyDescent="0.25">
      <c r="A8" s="3">
        <v>51</v>
      </c>
      <c r="B8" s="2" t="s">
        <v>11</v>
      </c>
      <c r="C8" s="18">
        <v>0.37229999999999996</v>
      </c>
      <c r="D8" s="2" t="s">
        <v>5</v>
      </c>
      <c r="E8" s="2">
        <v>22044.3</v>
      </c>
      <c r="F8" s="4">
        <v>1265793.04</v>
      </c>
      <c r="G8" s="25">
        <v>0.8</v>
      </c>
      <c r="H8" s="25">
        <v>0.95</v>
      </c>
      <c r="I8" s="25">
        <v>1</v>
      </c>
    </row>
    <row r="9" spans="1:15" x14ac:dyDescent="0.25">
      <c r="A9" s="3">
        <v>17</v>
      </c>
      <c r="B9" s="2" t="s">
        <v>12</v>
      </c>
      <c r="C9" s="18">
        <v>0.39810000000000001</v>
      </c>
      <c r="D9" s="2" t="s">
        <v>5</v>
      </c>
      <c r="E9" s="2">
        <v>12772</v>
      </c>
      <c r="F9" s="4">
        <v>1265793.04</v>
      </c>
      <c r="G9" s="25">
        <v>0.8</v>
      </c>
      <c r="H9" s="25">
        <v>0.95</v>
      </c>
      <c r="I9" s="25">
        <v>1</v>
      </c>
    </row>
    <row r="10" spans="1:15" x14ac:dyDescent="0.25">
      <c r="A10" s="3">
        <v>18</v>
      </c>
      <c r="B10" s="2" t="s">
        <v>13</v>
      </c>
      <c r="C10" s="18">
        <v>0.42109999999999997</v>
      </c>
      <c r="D10" s="2" t="s">
        <v>5</v>
      </c>
      <c r="E10" s="2">
        <v>7226.5</v>
      </c>
      <c r="F10" s="4">
        <v>1265793.04</v>
      </c>
      <c r="G10" s="25">
        <v>0.8</v>
      </c>
      <c r="H10" s="25">
        <v>0.95</v>
      </c>
      <c r="I10" s="25">
        <v>1</v>
      </c>
    </row>
    <row r="11" spans="1:15" x14ac:dyDescent="0.25">
      <c r="A11" s="3">
        <v>28</v>
      </c>
      <c r="B11" s="2" t="s">
        <v>14</v>
      </c>
      <c r="C11" s="18">
        <v>0.44140000000000001</v>
      </c>
      <c r="D11" s="2" t="s">
        <v>5</v>
      </c>
      <c r="E11" s="2">
        <v>20867.34</v>
      </c>
      <c r="F11" s="4">
        <v>1265793.04</v>
      </c>
      <c r="G11" s="25">
        <v>0.8</v>
      </c>
      <c r="H11" s="25">
        <v>0.95</v>
      </c>
      <c r="I11" s="25">
        <v>1</v>
      </c>
    </row>
    <row r="12" spans="1:15" x14ac:dyDescent="0.25">
      <c r="A12" s="3">
        <v>72</v>
      </c>
      <c r="B12" s="2" t="s">
        <v>15</v>
      </c>
      <c r="C12" s="18">
        <v>0.46110000000000001</v>
      </c>
      <c r="D12" s="2" t="s">
        <v>5</v>
      </c>
      <c r="E12" s="2">
        <v>12901.77</v>
      </c>
      <c r="F12" s="4">
        <v>1265793.04</v>
      </c>
      <c r="G12" s="25">
        <v>0.8</v>
      </c>
      <c r="H12" s="25">
        <v>0.95</v>
      </c>
      <c r="I12" s="25">
        <v>1</v>
      </c>
    </row>
    <row r="13" spans="1:15" x14ac:dyDescent="0.25">
      <c r="A13" s="3">
        <v>43</v>
      </c>
      <c r="B13" s="2" t="s">
        <v>16</v>
      </c>
      <c r="C13" s="18">
        <v>0.47970000000000002</v>
      </c>
      <c r="D13" s="2" t="s">
        <v>5</v>
      </c>
      <c r="E13" s="2">
        <v>12257.66</v>
      </c>
      <c r="F13" s="4">
        <v>1265793.04</v>
      </c>
      <c r="G13" s="25">
        <v>0.8</v>
      </c>
      <c r="H13" s="25">
        <v>0.95</v>
      </c>
      <c r="I13" s="25">
        <v>1</v>
      </c>
    </row>
    <row r="14" spans="1:15" x14ac:dyDescent="0.25">
      <c r="A14" s="3">
        <v>20</v>
      </c>
      <c r="B14" s="2" t="s">
        <v>17</v>
      </c>
      <c r="C14" s="18">
        <v>0.4975</v>
      </c>
      <c r="D14" s="2" t="s">
        <v>5</v>
      </c>
      <c r="E14" s="2">
        <v>4960.4399999999996</v>
      </c>
      <c r="F14" s="4">
        <v>1265793.04</v>
      </c>
      <c r="G14" s="25">
        <v>0.8</v>
      </c>
      <c r="H14" s="25">
        <v>0.95</v>
      </c>
      <c r="I14" s="25">
        <v>1</v>
      </c>
    </row>
    <row r="15" spans="1:15" x14ac:dyDescent="0.25">
      <c r="A15" s="3">
        <v>7</v>
      </c>
      <c r="B15" s="2" t="s">
        <v>18</v>
      </c>
      <c r="C15" s="18">
        <v>0.51490000000000002</v>
      </c>
      <c r="D15" s="2" t="s">
        <v>5</v>
      </c>
      <c r="E15" s="2">
        <v>7991.49</v>
      </c>
      <c r="F15" s="4">
        <v>1265793.04</v>
      </c>
      <c r="G15" s="25">
        <v>0.8</v>
      </c>
      <c r="H15" s="25">
        <v>0.95</v>
      </c>
      <c r="I15" s="25">
        <v>1</v>
      </c>
    </row>
    <row r="16" spans="1:15" x14ac:dyDescent="0.25">
      <c r="A16" s="3">
        <v>64</v>
      </c>
      <c r="B16" s="2" t="s">
        <v>19</v>
      </c>
      <c r="C16" s="18">
        <v>0.53220000000000001</v>
      </c>
      <c r="D16" s="2" t="s">
        <v>5</v>
      </c>
      <c r="E16" s="2">
        <v>1784.82</v>
      </c>
      <c r="F16" s="4">
        <v>1265793.04</v>
      </c>
      <c r="G16" s="25">
        <v>0.8</v>
      </c>
      <c r="H16" s="25">
        <v>0.95</v>
      </c>
      <c r="I16" s="25">
        <v>1</v>
      </c>
    </row>
    <row r="17" spans="1:9" x14ac:dyDescent="0.25">
      <c r="A17" s="3">
        <v>69</v>
      </c>
      <c r="B17" s="2" t="s">
        <v>20</v>
      </c>
      <c r="C17" s="18">
        <v>0.54949999999999999</v>
      </c>
      <c r="D17" s="2" t="s">
        <v>5</v>
      </c>
      <c r="E17" s="2">
        <v>17215.78</v>
      </c>
      <c r="F17" s="4">
        <v>1265793.04</v>
      </c>
      <c r="G17" s="25">
        <v>0.8</v>
      </c>
      <c r="H17" s="25">
        <v>0.95</v>
      </c>
      <c r="I17" s="25">
        <v>1</v>
      </c>
    </row>
    <row r="18" spans="1:9" x14ac:dyDescent="0.25">
      <c r="A18" s="3">
        <v>10</v>
      </c>
      <c r="B18" s="2" t="s">
        <v>21</v>
      </c>
      <c r="C18" s="18">
        <v>0.56600000000000006</v>
      </c>
      <c r="D18" s="2" t="s">
        <v>5</v>
      </c>
      <c r="E18" s="2">
        <v>32698.38</v>
      </c>
      <c r="F18" s="4">
        <v>1265793.04</v>
      </c>
      <c r="G18" s="25">
        <v>0.8</v>
      </c>
      <c r="H18" s="25">
        <v>0.95</v>
      </c>
      <c r="I18" s="25">
        <v>1</v>
      </c>
    </row>
    <row r="19" spans="1:9" x14ac:dyDescent="0.25">
      <c r="A19" s="3">
        <v>53</v>
      </c>
      <c r="B19" s="2" t="s">
        <v>22</v>
      </c>
      <c r="C19" s="18">
        <v>0.58229999999999993</v>
      </c>
      <c r="D19" s="2" t="s">
        <v>5</v>
      </c>
      <c r="E19" s="2">
        <v>29171.87</v>
      </c>
      <c r="F19" s="4">
        <v>1265793.04</v>
      </c>
      <c r="G19" s="25">
        <v>0.8</v>
      </c>
      <c r="H19" s="25">
        <v>0.95</v>
      </c>
      <c r="I19" s="25">
        <v>1</v>
      </c>
    </row>
    <row r="20" spans="1:9" x14ac:dyDescent="0.25">
      <c r="A20" s="3">
        <v>26</v>
      </c>
      <c r="B20" s="2" t="s">
        <v>23</v>
      </c>
      <c r="C20" s="18">
        <v>0.59799999999999998</v>
      </c>
      <c r="D20" s="2" t="s">
        <v>5</v>
      </c>
      <c r="E20" s="2">
        <v>5862.62</v>
      </c>
      <c r="F20" s="4">
        <v>1265793.04</v>
      </c>
      <c r="G20" s="25">
        <v>0.8</v>
      </c>
      <c r="H20" s="25">
        <v>0.95</v>
      </c>
      <c r="I20" s="25">
        <v>1</v>
      </c>
    </row>
    <row r="21" spans="1:9" x14ac:dyDescent="0.25">
      <c r="A21" s="3">
        <v>71</v>
      </c>
      <c r="B21" s="2" t="s">
        <v>24</v>
      </c>
      <c r="C21" s="18">
        <v>0.61340000000000006</v>
      </c>
      <c r="D21" s="2" t="s">
        <v>5</v>
      </c>
      <c r="E21" s="2">
        <v>22563.360000000001</v>
      </c>
      <c r="F21" s="4">
        <v>1265793.04</v>
      </c>
      <c r="G21" s="25">
        <v>0.8</v>
      </c>
      <c r="H21" s="25">
        <v>0.95</v>
      </c>
      <c r="I21" s="25">
        <v>1</v>
      </c>
    </row>
    <row r="22" spans="1:9" x14ac:dyDescent="0.25">
      <c r="A22" s="3">
        <v>40</v>
      </c>
      <c r="B22" s="2" t="s">
        <v>25</v>
      </c>
      <c r="C22" s="18">
        <v>0.62749999999999995</v>
      </c>
      <c r="D22" s="2" t="s">
        <v>5</v>
      </c>
      <c r="E22" s="2">
        <v>9104</v>
      </c>
      <c r="F22" s="4">
        <v>1265793.04</v>
      </c>
      <c r="G22" s="25">
        <v>0.8</v>
      </c>
      <c r="H22" s="25">
        <v>0.95</v>
      </c>
      <c r="I22" s="25">
        <v>1</v>
      </c>
    </row>
    <row r="23" spans="1:9" x14ac:dyDescent="0.25">
      <c r="A23" s="3">
        <v>55</v>
      </c>
      <c r="B23" s="2" t="s">
        <v>26</v>
      </c>
      <c r="C23" s="18">
        <v>0.64129999999999998</v>
      </c>
      <c r="D23" s="2" t="s">
        <v>5</v>
      </c>
      <c r="E23" s="2">
        <v>7122.36</v>
      </c>
      <c r="F23" s="4">
        <v>1265793.04</v>
      </c>
      <c r="G23" s="25">
        <v>0.8</v>
      </c>
      <c r="H23" s="25">
        <v>0.95</v>
      </c>
      <c r="I23" s="25">
        <v>1</v>
      </c>
    </row>
    <row r="24" spans="1:9" x14ac:dyDescent="0.25">
      <c r="A24" s="3">
        <v>16</v>
      </c>
      <c r="B24" s="2" t="s">
        <v>27</v>
      </c>
      <c r="C24" s="18">
        <v>0.65489999999999993</v>
      </c>
      <c r="D24" s="2" t="s">
        <v>5</v>
      </c>
      <c r="E24" s="2">
        <v>4601.7</v>
      </c>
      <c r="F24" s="4">
        <v>1265793.04</v>
      </c>
      <c r="G24" s="25">
        <v>0.8</v>
      </c>
      <c r="H24" s="25">
        <v>0.95</v>
      </c>
      <c r="I24" s="25">
        <v>1</v>
      </c>
    </row>
    <row r="25" spans="1:9" x14ac:dyDescent="0.25">
      <c r="A25" s="3">
        <v>63</v>
      </c>
      <c r="B25" s="2" t="s">
        <v>28</v>
      </c>
      <c r="C25" s="18">
        <v>0.66810000000000003</v>
      </c>
      <c r="D25" s="2" t="s">
        <v>5</v>
      </c>
      <c r="E25" s="2">
        <v>4504.3599999999997</v>
      </c>
      <c r="F25" s="4">
        <v>1265793.04</v>
      </c>
      <c r="G25" s="25">
        <v>0.8</v>
      </c>
      <c r="H25" s="25">
        <v>0.95</v>
      </c>
      <c r="I25" s="25">
        <v>1</v>
      </c>
    </row>
    <row r="26" spans="1:9" x14ac:dyDescent="0.25">
      <c r="A26" s="3">
        <v>2</v>
      </c>
      <c r="B26" s="2" t="s">
        <v>29</v>
      </c>
      <c r="C26" s="18">
        <v>0.68099999999999994</v>
      </c>
      <c r="D26" s="2" t="s">
        <v>5</v>
      </c>
      <c r="E26" s="2">
        <v>3704.4</v>
      </c>
      <c r="F26" s="4">
        <v>1265793.04</v>
      </c>
      <c r="G26" s="25">
        <v>0.8</v>
      </c>
      <c r="H26" s="25">
        <v>0.95</v>
      </c>
      <c r="I26" s="25">
        <v>1</v>
      </c>
    </row>
    <row r="27" spans="1:9" x14ac:dyDescent="0.25">
      <c r="A27" s="3">
        <v>76</v>
      </c>
      <c r="B27" s="2" t="s">
        <v>30</v>
      </c>
      <c r="C27" s="18">
        <v>0.69349999999999989</v>
      </c>
      <c r="D27" s="2" t="s">
        <v>5</v>
      </c>
      <c r="E27" s="2">
        <v>19849.14</v>
      </c>
      <c r="F27" s="4">
        <v>1265793.04</v>
      </c>
      <c r="G27" s="25">
        <v>0.8</v>
      </c>
      <c r="H27" s="25">
        <v>0.95</v>
      </c>
      <c r="I27" s="25">
        <v>1</v>
      </c>
    </row>
    <row r="28" spans="1:9" x14ac:dyDescent="0.25">
      <c r="A28" s="3">
        <v>27</v>
      </c>
      <c r="B28" s="2" t="s">
        <v>31</v>
      </c>
      <c r="C28" s="18">
        <v>0.70540000000000003</v>
      </c>
      <c r="D28" s="2" t="s">
        <v>5</v>
      </c>
      <c r="E28" s="2">
        <v>15099.88</v>
      </c>
      <c r="F28" s="4">
        <v>1265793.04</v>
      </c>
      <c r="G28" s="25">
        <v>0.8</v>
      </c>
      <c r="H28" s="25">
        <v>0.95</v>
      </c>
      <c r="I28" s="25">
        <v>1</v>
      </c>
    </row>
    <row r="29" spans="1:9" x14ac:dyDescent="0.25">
      <c r="A29" s="3">
        <v>31</v>
      </c>
      <c r="B29" s="2" t="s">
        <v>32</v>
      </c>
      <c r="C29" s="18">
        <v>0.71719999999999995</v>
      </c>
      <c r="D29" s="2" t="s">
        <v>5</v>
      </c>
      <c r="E29" s="2">
        <v>25696.639999999999</v>
      </c>
      <c r="F29" s="4">
        <v>1265793.04</v>
      </c>
      <c r="G29" s="25">
        <v>0.8</v>
      </c>
      <c r="H29" s="25">
        <v>0.95</v>
      </c>
      <c r="I29" s="25">
        <v>1</v>
      </c>
    </row>
    <row r="30" spans="1:9" x14ac:dyDescent="0.25">
      <c r="A30" s="3">
        <v>61</v>
      </c>
      <c r="B30" s="2" t="s">
        <v>33</v>
      </c>
      <c r="C30" s="18">
        <v>0.72849999999999993</v>
      </c>
      <c r="D30" s="2" t="s">
        <v>5</v>
      </c>
      <c r="E30" s="2">
        <v>80368.67</v>
      </c>
      <c r="F30" s="4">
        <v>1265793.04</v>
      </c>
      <c r="G30" s="25">
        <v>0.8</v>
      </c>
      <c r="H30" s="25">
        <v>0.95</v>
      </c>
      <c r="I30" s="25">
        <v>1</v>
      </c>
    </row>
    <row r="31" spans="1:9" x14ac:dyDescent="0.25">
      <c r="A31" s="3">
        <v>65</v>
      </c>
      <c r="B31" s="2" t="s">
        <v>34</v>
      </c>
      <c r="C31" s="18">
        <v>0.73950000000000005</v>
      </c>
      <c r="D31" s="2" t="s">
        <v>5</v>
      </c>
      <c r="E31" s="2">
        <v>13424.2</v>
      </c>
      <c r="F31" s="4">
        <v>1265793.04</v>
      </c>
      <c r="G31" s="25">
        <v>0.8</v>
      </c>
      <c r="H31" s="25">
        <v>0.95</v>
      </c>
      <c r="I31" s="25">
        <v>1</v>
      </c>
    </row>
    <row r="32" spans="1:9" x14ac:dyDescent="0.25">
      <c r="A32" s="3">
        <v>35</v>
      </c>
      <c r="B32" s="2" t="s">
        <v>35</v>
      </c>
      <c r="C32" s="18">
        <v>0.75029999999999997</v>
      </c>
      <c r="D32" s="2" t="s">
        <v>5</v>
      </c>
      <c r="E32" s="2">
        <v>14920.87</v>
      </c>
      <c r="F32" s="4">
        <v>1265793.04</v>
      </c>
      <c r="G32" s="25">
        <v>0.8</v>
      </c>
      <c r="H32" s="25">
        <v>0.95</v>
      </c>
      <c r="I32" s="25">
        <v>1</v>
      </c>
    </row>
    <row r="33" spans="1:9" x14ac:dyDescent="0.25">
      <c r="A33" s="3">
        <v>36</v>
      </c>
      <c r="B33" s="2" t="s">
        <v>36</v>
      </c>
      <c r="C33" s="18">
        <v>0.76090000000000002</v>
      </c>
      <c r="D33" s="2" t="s">
        <v>5</v>
      </c>
      <c r="E33" s="2">
        <v>8404.16</v>
      </c>
      <c r="F33" s="4">
        <v>1265793.04</v>
      </c>
      <c r="G33" s="25">
        <v>0.8</v>
      </c>
      <c r="H33" s="25">
        <v>0.95</v>
      </c>
      <c r="I33" s="25">
        <v>1</v>
      </c>
    </row>
    <row r="34" spans="1:9" x14ac:dyDescent="0.25">
      <c r="A34" s="3">
        <v>30</v>
      </c>
      <c r="B34" s="2" t="s">
        <v>37</v>
      </c>
      <c r="C34" s="18">
        <v>0.77150000000000007</v>
      </c>
      <c r="D34" s="2" t="s">
        <v>5</v>
      </c>
      <c r="E34" s="2">
        <v>1648.12</v>
      </c>
      <c r="F34" s="4">
        <v>1265793.04</v>
      </c>
      <c r="G34" s="25">
        <v>0.8</v>
      </c>
      <c r="H34" s="25">
        <v>0.95</v>
      </c>
      <c r="I34" s="25">
        <v>1</v>
      </c>
    </row>
    <row r="35" spans="1:9" x14ac:dyDescent="0.25">
      <c r="A35" s="3">
        <v>11</v>
      </c>
      <c r="B35" s="2" t="s">
        <v>38</v>
      </c>
      <c r="C35" s="18">
        <v>0.78170000000000006</v>
      </c>
      <c r="D35" s="2" t="s">
        <v>5</v>
      </c>
      <c r="E35" s="2">
        <v>6350.4</v>
      </c>
      <c r="F35" s="4">
        <v>1265793.04</v>
      </c>
      <c r="G35" s="25">
        <v>0.8</v>
      </c>
      <c r="H35" s="25">
        <v>0.95</v>
      </c>
      <c r="I35" s="25">
        <v>1</v>
      </c>
    </row>
    <row r="36" spans="1:9" x14ac:dyDescent="0.25">
      <c r="A36" s="3">
        <v>1</v>
      </c>
      <c r="B36" s="2" t="s">
        <v>39</v>
      </c>
      <c r="C36" s="18">
        <v>0.79180000000000006</v>
      </c>
      <c r="D36" s="2" t="s">
        <v>5</v>
      </c>
      <c r="E36" s="2">
        <v>13644</v>
      </c>
      <c r="F36" s="4">
        <v>1265793.04</v>
      </c>
      <c r="G36" s="25">
        <v>0.8</v>
      </c>
      <c r="H36" s="25">
        <v>0.95</v>
      </c>
      <c r="I36" s="25">
        <v>1</v>
      </c>
    </row>
    <row r="37" spans="1:9" x14ac:dyDescent="0.25">
      <c r="A37" s="3">
        <v>8</v>
      </c>
      <c r="B37" s="2" t="s">
        <v>40</v>
      </c>
      <c r="C37" s="18">
        <v>0.80189999999999995</v>
      </c>
      <c r="D37" s="2" t="s">
        <v>41</v>
      </c>
      <c r="E37" s="2">
        <v>13458.46</v>
      </c>
      <c r="F37" s="4">
        <v>1265793.04</v>
      </c>
      <c r="G37" s="25">
        <v>0.8</v>
      </c>
      <c r="H37" s="25">
        <v>0.95</v>
      </c>
      <c r="I37" s="25">
        <v>1</v>
      </c>
    </row>
    <row r="38" spans="1:9" x14ac:dyDescent="0.25">
      <c r="A38" s="3">
        <v>39</v>
      </c>
      <c r="B38" s="2" t="s">
        <v>42</v>
      </c>
      <c r="C38" s="18">
        <v>0.81159999999999999</v>
      </c>
      <c r="D38" s="2" t="s">
        <v>41</v>
      </c>
      <c r="E38" s="2">
        <v>2688.4</v>
      </c>
      <c r="F38" s="4">
        <v>1265793.04</v>
      </c>
      <c r="G38" s="25">
        <v>0.8</v>
      </c>
      <c r="H38" s="25">
        <v>0.95</v>
      </c>
      <c r="I38" s="25">
        <v>1</v>
      </c>
    </row>
    <row r="39" spans="1:9" x14ac:dyDescent="0.25">
      <c r="A39" s="3">
        <v>12</v>
      </c>
      <c r="B39" s="2" t="s">
        <v>43</v>
      </c>
      <c r="C39" s="18">
        <v>0.82129999999999992</v>
      </c>
      <c r="D39" s="2" t="s">
        <v>41</v>
      </c>
      <c r="E39" s="2">
        <v>141396.74</v>
      </c>
      <c r="F39" s="4">
        <v>1265793.04</v>
      </c>
      <c r="G39" s="25">
        <v>0.8</v>
      </c>
      <c r="H39" s="25">
        <v>0.95</v>
      </c>
      <c r="I39" s="25">
        <v>1</v>
      </c>
    </row>
    <row r="40" spans="1:9" x14ac:dyDescent="0.25">
      <c r="A40" s="3">
        <v>70</v>
      </c>
      <c r="B40" s="2" t="s">
        <v>44</v>
      </c>
      <c r="C40" s="18">
        <v>0.82969999999999999</v>
      </c>
      <c r="D40" s="2" t="s">
        <v>41</v>
      </c>
      <c r="E40" s="2">
        <v>12294.54</v>
      </c>
      <c r="F40" s="4">
        <v>1265793.04</v>
      </c>
      <c r="G40" s="25">
        <v>0.8</v>
      </c>
      <c r="H40" s="25">
        <v>0.95</v>
      </c>
      <c r="I40" s="25">
        <v>1</v>
      </c>
    </row>
    <row r="41" spans="1:9" x14ac:dyDescent="0.25">
      <c r="A41" s="3">
        <v>44</v>
      </c>
      <c r="B41" s="2" t="s">
        <v>45</v>
      </c>
      <c r="C41" s="18">
        <v>0.83750000000000002</v>
      </c>
      <c r="D41" s="2" t="s">
        <v>41</v>
      </c>
      <c r="E41" s="2">
        <v>17910.63</v>
      </c>
      <c r="F41" s="4">
        <v>1265793.04</v>
      </c>
      <c r="G41" s="25">
        <v>0.8</v>
      </c>
      <c r="H41" s="25">
        <v>0.95</v>
      </c>
      <c r="I41" s="25">
        <v>1</v>
      </c>
    </row>
    <row r="42" spans="1:9" x14ac:dyDescent="0.25">
      <c r="A42" s="3">
        <v>49</v>
      </c>
      <c r="B42" s="2" t="s">
        <v>46</v>
      </c>
      <c r="C42" s="18">
        <v>0.8448</v>
      </c>
      <c r="D42" s="2" t="s">
        <v>41</v>
      </c>
      <c r="E42" s="2">
        <v>8680.34</v>
      </c>
      <c r="F42" s="4">
        <v>1265793.04</v>
      </c>
      <c r="G42" s="25">
        <v>0.8</v>
      </c>
      <c r="H42" s="25">
        <v>0.95</v>
      </c>
      <c r="I42" s="25">
        <v>1</v>
      </c>
    </row>
    <row r="43" spans="1:9" x14ac:dyDescent="0.25">
      <c r="A43" s="3">
        <v>77</v>
      </c>
      <c r="B43" s="2" t="s">
        <v>47</v>
      </c>
      <c r="C43" s="18">
        <v>0.85199999999999998</v>
      </c>
      <c r="D43" s="2" t="s">
        <v>41</v>
      </c>
      <c r="E43" s="2">
        <v>8575</v>
      </c>
      <c r="F43" s="4">
        <v>1265793.04</v>
      </c>
      <c r="G43" s="25">
        <v>0.8</v>
      </c>
      <c r="H43" s="25">
        <v>0.95</v>
      </c>
      <c r="I43" s="25">
        <v>1</v>
      </c>
    </row>
    <row r="44" spans="1:9" x14ac:dyDescent="0.25">
      <c r="A44" s="3">
        <v>21</v>
      </c>
      <c r="B44" s="2" t="s">
        <v>48</v>
      </c>
      <c r="C44" s="18">
        <v>0.85919999999999996</v>
      </c>
      <c r="D44" s="2" t="s">
        <v>41</v>
      </c>
      <c r="E44" s="2">
        <v>23526.7</v>
      </c>
      <c r="F44" s="4">
        <v>1265793.04</v>
      </c>
      <c r="G44" s="25">
        <v>0.8</v>
      </c>
      <c r="H44" s="25">
        <v>0.95</v>
      </c>
      <c r="I44" s="25">
        <v>1</v>
      </c>
    </row>
    <row r="45" spans="1:9" x14ac:dyDescent="0.25">
      <c r="A45" s="3">
        <v>68</v>
      </c>
      <c r="B45" s="2" t="s">
        <v>49</v>
      </c>
      <c r="C45" s="18">
        <v>0.86609999999999998</v>
      </c>
      <c r="D45" s="2" t="s">
        <v>41</v>
      </c>
      <c r="E45" s="2">
        <v>9915.9500000000007</v>
      </c>
      <c r="F45" s="4">
        <v>1265793.04</v>
      </c>
      <c r="G45" s="25">
        <v>0.8</v>
      </c>
      <c r="H45" s="25">
        <v>0.95</v>
      </c>
      <c r="I45" s="25">
        <v>1</v>
      </c>
    </row>
    <row r="46" spans="1:9" x14ac:dyDescent="0.25">
      <c r="A46" s="3">
        <v>41</v>
      </c>
      <c r="B46" s="2" t="s">
        <v>50</v>
      </c>
      <c r="C46" s="18">
        <v>0.873</v>
      </c>
      <c r="D46" s="2" t="s">
        <v>41</v>
      </c>
      <c r="E46" s="2">
        <v>4338.17</v>
      </c>
      <c r="F46" s="4">
        <v>1265793.04</v>
      </c>
      <c r="G46" s="25">
        <v>0.8</v>
      </c>
      <c r="H46" s="25">
        <v>0.95</v>
      </c>
      <c r="I46" s="25">
        <v>1</v>
      </c>
    </row>
    <row r="47" spans="1:9" x14ac:dyDescent="0.25">
      <c r="A47" s="3">
        <v>42</v>
      </c>
      <c r="B47" s="2" t="s">
        <v>51</v>
      </c>
      <c r="C47" s="18">
        <v>0.87980000000000003</v>
      </c>
      <c r="D47" s="2" t="s">
        <v>41</v>
      </c>
      <c r="E47" s="2">
        <v>5883</v>
      </c>
      <c r="F47" s="4">
        <v>1265793.04</v>
      </c>
      <c r="G47" s="25">
        <v>0.8</v>
      </c>
      <c r="H47" s="25">
        <v>0.95</v>
      </c>
      <c r="I47" s="25">
        <v>1</v>
      </c>
    </row>
    <row r="48" spans="1:9" x14ac:dyDescent="0.25">
      <c r="A48" s="3">
        <v>4</v>
      </c>
      <c r="B48" s="2" t="s">
        <v>52</v>
      </c>
      <c r="C48" s="18">
        <v>0.88659999999999994</v>
      </c>
      <c r="D48" s="2" t="s">
        <v>41</v>
      </c>
      <c r="E48" s="2">
        <v>3958.08</v>
      </c>
      <c r="F48" s="4">
        <v>1265793.04</v>
      </c>
      <c r="G48" s="25">
        <v>0.8</v>
      </c>
      <c r="H48" s="25">
        <v>0.95</v>
      </c>
      <c r="I48" s="25">
        <v>1</v>
      </c>
    </row>
    <row r="49" spans="1:16" x14ac:dyDescent="0.25">
      <c r="A49" s="3">
        <v>32</v>
      </c>
      <c r="B49" s="2" t="s">
        <v>53</v>
      </c>
      <c r="C49" s="18">
        <v>0.89319999999999988</v>
      </c>
      <c r="D49" s="2" t="s">
        <v>41</v>
      </c>
      <c r="E49" s="2">
        <v>1368.71</v>
      </c>
      <c r="F49" s="4">
        <v>1265793.04</v>
      </c>
      <c r="G49" s="25">
        <v>0.8</v>
      </c>
      <c r="H49" s="25">
        <v>0.95</v>
      </c>
      <c r="I49" s="25">
        <v>1</v>
      </c>
    </row>
    <row r="50" spans="1:16" x14ac:dyDescent="0.25">
      <c r="A50" s="3">
        <v>75</v>
      </c>
      <c r="B50" s="2" t="s">
        <v>54</v>
      </c>
      <c r="C50" s="18">
        <v>0.89969999999999994</v>
      </c>
      <c r="D50" s="2" t="s">
        <v>41</v>
      </c>
      <c r="E50" s="2">
        <v>9244.6</v>
      </c>
      <c r="F50" s="4">
        <v>1265793.04</v>
      </c>
      <c r="G50" s="25">
        <v>0.8</v>
      </c>
      <c r="H50" s="25">
        <v>0.95</v>
      </c>
      <c r="I50" s="25">
        <v>1</v>
      </c>
    </row>
    <row r="51" spans="1:16" x14ac:dyDescent="0.25">
      <c r="A51" s="3">
        <v>14</v>
      </c>
      <c r="B51" s="2" t="s">
        <v>55</v>
      </c>
      <c r="C51" s="18">
        <v>0.90599999999999992</v>
      </c>
      <c r="D51" s="2" t="s">
        <v>41</v>
      </c>
      <c r="E51" s="2">
        <v>3437.69</v>
      </c>
      <c r="F51" s="4">
        <v>1265793.04</v>
      </c>
      <c r="G51" s="25">
        <v>0.8</v>
      </c>
      <c r="H51" s="25">
        <v>0.95</v>
      </c>
      <c r="I51" s="25">
        <v>1</v>
      </c>
    </row>
    <row r="52" spans="1:16" x14ac:dyDescent="0.25">
      <c r="A52" s="3">
        <v>57</v>
      </c>
      <c r="B52" s="2" t="s">
        <v>56</v>
      </c>
      <c r="C52" s="18">
        <v>0.91209999999999991</v>
      </c>
      <c r="D52" s="2" t="s">
        <v>41</v>
      </c>
      <c r="E52" s="2">
        <v>41819.65</v>
      </c>
      <c r="F52" s="4">
        <v>1265793.04</v>
      </c>
      <c r="G52" s="25">
        <v>0.8</v>
      </c>
      <c r="H52" s="25">
        <v>0.95</v>
      </c>
      <c r="I52" s="25">
        <v>1</v>
      </c>
    </row>
    <row r="53" spans="1:16" x14ac:dyDescent="0.25">
      <c r="A53" s="3">
        <v>9</v>
      </c>
      <c r="B53" s="2" t="s">
        <v>57</v>
      </c>
      <c r="C53" s="18">
        <v>0.91780000000000006</v>
      </c>
      <c r="D53" s="2" t="s">
        <v>41</v>
      </c>
      <c r="E53" s="2">
        <v>3232.95</v>
      </c>
      <c r="F53" s="4">
        <v>1265793.04</v>
      </c>
      <c r="G53" s="25">
        <v>0.8</v>
      </c>
      <c r="H53" s="25">
        <v>0.95</v>
      </c>
      <c r="I53" s="25">
        <v>1</v>
      </c>
    </row>
    <row r="54" spans="1:16" x14ac:dyDescent="0.25">
      <c r="A54" s="3">
        <v>6</v>
      </c>
      <c r="B54" s="2" t="s">
        <v>58</v>
      </c>
      <c r="C54" s="18">
        <v>0.9234</v>
      </c>
      <c r="D54" s="2" t="s">
        <v>41</v>
      </c>
      <c r="E54" s="2">
        <v>20574.169999999998</v>
      </c>
      <c r="F54" s="4">
        <v>1265793.04</v>
      </c>
      <c r="G54" s="25">
        <v>0.8</v>
      </c>
      <c r="H54" s="25">
        <v>0.95</v>
      </c>
      <c r="I54" s="25">
        <v>1</v>
      </c>
    </row>
    <row r="55" spans="1:16" x14ac:dyDescent="0.25">
      <c r="A55" s="3">
        <v>22</v>
      </c>
      <c r="B55" s="2" t="s">
        <v>59</v>
      </c>
      <c r="C55" s="18">
        <v>0.92900000000000005</v>
      </c>
      <c r="D55" s="2" t="s">
        <v>41</v>
      </c>
      <c r="E55" s="2">
        <v>4728.24</v>
      </c>
      <c r="F55" s="4">
        <v>1265793.04</v>
      </c>
      <c r="G55" s="25">
        <v>0.8</v>
      </c>
      <c r="H55" s="25">
        <v>0.95</v>
      </c>
      <c r="I55" s="25">
        <v>1</v>
      </c>
    </row>
    <row r="56" spans="1:16" x14ac:dyDescent="0.25">
      <c r="A56" s="3">
        <v>34</v>
      </c>
      <c r="B56" s="2" t="s">
        <v>60</v>
      </c>
      <c r="C56" s="18">
        <v>0.93400000000000005</v>
      </c>
      <c r="D56" s="2" t="s">
        <v>41</v>
      </c>
      <c r="E56" s="2">
        <v>17426.400000000001</v>
      </c>
      <c r="F56" s="4">
        <v>1265793.04</v>
      </c>
      <c r="G56" s="25">
        <v>0.8</v>
      </c>
      <c r="H56" s="25">
        <v>0.95</v>
      </c>
      <c r="I56" s="25">
        <v>1</v>
      </c>
    </row>
    <row r="57" spans="1:16" x14ac:dyDescent="0.25">
      <c r="A57" s="3">
        <v>46</v>
      </c>
      <c r="B57" s="2" t="s">
        <v>61</v>
      </c>
      <c r="C57" s="18">
        <v>0.93859999999999999</v>
      </c>
      <c r="D57" s="2" t="s">
        <v>41</v>
      </c>
      <c r="E57" s="2">
        <v>42593.06</v>
      </c>
      <c r="F57" s="4">
        <v>1265793.04</v>
      </c>
      <c r="G57" s="25">
        <v>0.8</v>
      </c>
      <c r="H57" s="25">
        <v>0.95</v>
      </c>
      <c r="I57" s="25">
        <v>1</v>
      </c>
    </row>
    <row r="58" spans="1:16" x14ac:dyDescent="0.25">
      <c r="A58" s="3">
        <v>58</v>
      </c>
      <c r="B58" s="2" t="s">
        <v>62</v>
      </c>
      <c r="C58" s="18">
        <v>0.94319999999999993</v>
      </c>
      <c r="D58" s="2" t="s">
        <v>41</v>
      </c>
      <c r="E58" s="2">
        <v>7661.55</v>
      </c>
      <c r="F58" s="4">
        <v>1265793.04</v>
      </c>
      <c r="G58" s="25">
        <v>0.8</v>
      </c>
      <c r="H58" s="25">
        <v>0.95</v>
      </c>
      <c r="I58" s="25">
        <v>1</v>
      </c>
    </row>
    <row r="59" spans="1:16" x14ac:dyDescent="0.25">
      <c r="A59" s="3">
        <v>19</v>
      </c>
      <c r="B59" s="2" t="s">
        <v>63</v>
      </c>
      <c r="C59" s="18">
        <v>0.94779999999999998</v>
      </c>
      <c r="D59" s="2" t="s">
        <v>41</v>
      </c>
      <c r="E59" s="2">
        <v>5881.68</v>
      </c>
      <c r="F59" s="4">
        <v>1265793.04</v>
      </c>
      <c r="G59" s="25">
        <v>0.8</v>
      </c>
      <c r="H59" s="25">
        <v>0.95</v>
      </c>
      <c r="I59" s="25">
        <v>1</v>
      </c>
    </row>
    <row r="60" spans="1:16" x14ac:dyDescent="0.25">
      <c r="A60" s="3">
        <v>5</v>
      </c>
      <c r="B60" s="2" t="s">
        <v>64</v>
      </c>
      <c r="C60" s="18">
        <v>0.95200000000000007</v>
      </c>
      <c r="D60" s="2" t="s">
        <v>65</v>
      </c>
      <c r="E60" s="2">
        <v>71155.7</v>
      </c>
      <c r="F60" s="4">
        <v>1265793.04</v>
      </c>
      <c r="G60" s="25">
        <v>0.8</v>
      </c>
      <c r="H60" s="25">
        <v>0.95</v>
      </c>
      <c r="I60" s="25">
        <v>1</v>
      </c>
    </row>
    <row r="61" spans="1:16" x14ac:dyDescent="0.25">
      <c r="A61" s="3">
        <v>13</v>
      </c>
      <c r="B61" s="2" t="s">
        <v>66</v>
      </c>
      <c r="C61" s="18">
        <v>0.95590000000000008</v>
      </c>
      <c r="D61" s="2" t="s">
        <v>65</v>
      </c>
      <c r="E61" s="2">
        <v>46825.48</v>
      </c>
      <c r="F61" s="4">
        <v>1265793.04</v>
      </c>
      <c r="G61" s="25">
        <v>0.8</v>
      </c>
      <c r="H61" s="25">
        <v>0.95</v>
      </c>
      <c r="I61" s="25">
        <v>1</v>
      </c>
    </row>
    <row r="62" spans="1:16" x14ac:dyDescent="0.25">
      <c r="A62" s="3">
        <v>54</v>
      </c>
      <c r="B62" s="2" t="s">
        <v>67</v>
      </c>
      <c r="C62" s="18">
        <v>0.9595999999999999</v>
      </c>
      <c r="D62" s="2" t="s">
        <v>65</v>
      </c>
      <c r="E62" s="2">
        <v>14352.6</v>
      </c>
      <c r="F62" s="4">
        <v>1265793.04</v>
      </c>
      <c r="G62" s="25">
        <v>0.8</v>
      </c>
      <c r="H62" s="25">
        <v>0.95</v>
      </c>
      <c r="I62" s="25">
        <v>1</v>
      </c>
    </row>
    <row r="63" spans="1:16" x14ac:dyDescent="0.25">
      <c r="A63" s="3">
        <v>23</v>
      </c>
      <c r="B63" s="2" t="s">
        <v>68</v>
      </c>
      <c r="C63" s="18">
        <v>0.96319999999999995</v>
      </c>
      <c r="D63" s="2" t="s">
        <v>65</v>
      </c>
      <c r="E63" s="2">
        <v>47234.97</v>
      </c>
      <c r="F63" s="4">
        <v>1265793.04</v>
      </c>
      <c r="G63" s="25">
        <v>0.8</v>
      </c>
      <c r="H63" s="25">
        <v>0.95</v>
      </c>
      <c r="I63" s="25">
        <v>1</v>
      </c>
      <c r="K63" s="41" t="s">
        <v>475</v>
      </c>
      <c r="L63" s="42" t="s">
        <v>427</v>
      </c>
      <c r="M63" s="42" t="s">
        <v>476</v>
      </c>
      <c r="N63" s="42" t="s">
        <v>477</v>
      </c>
      <c r="O63" s="42" t="s">
        <v>86</v>
      </c>
      <c r="P63" s="43" t="s">
        <v>478</v>
      </c>
    </row>
    <row r="64" spans="1:16" x14ac:dyDescent="0.25">
      <c r="A64" s="3">
        <v>24</v>
      </c>
      <c r="B64" s="2" t="s">
        <v>69</v>
      </c>
      <c r="C64" s="18">
        <v>0.9668000000000001</v>
      </c>
      <c r="D64" s="2" t="s">
        <v>65</v>
      </c>
      <c r="E64" s="2">
        <v>16701.099999999999</v>
      </c>
      <c r="F64" s="4">
        <v>1265793.04</v>
      </c>
      <c r="G64" s="25">
        <v>0.8</v>
      </c>
      <c r="H64" s="25">
        <v>0.95</v>
      </c>
      <c r="I64" s="25">
        <v>1</v>
      </c>
      <c r="K64" s="3">
        <v>1</v>
      </c>
      <c r="L64" s="2" t="s">
        <v>385</v>
      </c>
      <c r="M64" s="27">
        <v>267868.18</v>
      </c>
      <c r="N64" s="27">
        <v>21.16</v>
      </c>
      <c r="O64" s="18">
        <v>0.21160000000000001</v>
      </c>
      <c r="P64" s="4" t="s">
        <v>5</v>
      </c>
    </row>
    <row r="65" spans="1:16" x14ac:dyDescent="0.25">
      <c r="A65" s="3">
        <v>45</v>
      </c>
      <c r="B65" s="2" t="s">
        <v>70</v>
      </c>
      <c r="C65" s="18">
        <v>0.97019999999999995</v>
      </c>
      <c r="D65" s="2" t="s">
        <v>65</v>
      </c>
      <c r="E65" s="2">
        <v>21957.97</v>
      </c>
      <c r="F65" s="4">
        <v>1265793.04</v>
      </c>
      <c r="G65" s="25">
        <v>0.8</v>
      </c>
      <c r="H65" s="25">
        <v>0.95</v>
      </c>
      <c r="I65" s="25">
        <v>1</v>
      </c>
      <c r="K65" s="3">
        <v>4</v>
      </c>
      <c r="L65" s="2" t="s">
        <v>398</v>
      </c>
      <c r="M65" s="27">
        <v>234507.28</v>
      </c>
      <c r="N65" s="27">
        <v>18.53</v>
      </c>
      <c r="O65" s="18">
        <v>0.39689999999999998</v>
      </c>
      <c r="P65" s="4" t="s">
        <v>5</v>
      </c>
    </row>
    <row r="66" spans="1:16" x14ac:dyDescent="0.25">
      <c r="A66" s="3">
        <v>73</v>
      </c>
      <c r="B66" s="2" t="s">
        <v>71</v>
      </c>
      <c r="C66" s="18">
        <v>0.97340000000000004</v>
      </c>
      <c r="D66" s="2" t="s">
        <v>65</v>
      </c>
      <c r="E66" s="2">
        <v>13869.89</v>
      </c>
      <c r="F66" s="4">
        <v>1265793.04</v>
      </c>
      <c r="G66" s="25">
        <v>0.8</v>
      </c>
      <c r="H66" s="25">
        <v>0.95</v>
      </c>
      <c r="I66" s="25">
        <v>1</v>
      </c>
      <c r="K66" s="3">
        <v>3</v>
      </c>
      <c r="L66" s="2" t="s">
        <v>401</v>
      </c>
      <c r="M66" s="27">
        <v>167357.23000000001</v>
      </c>
      <c r="N66" s="27">
        <v>13.22</v>
      </c>
      <c r="O66" s="18">
        <v>0.52910000000000001</v>
      </c>
      <c r="P66" s="4" t="s">
        <v>5</v>
      </c>
    </row>
    <row r="67" spans="1:16" x14ac:dyDescent="0.25">
      <c r="A67" s="3">
        <v>47</v>
      </c>
      <c r="B67" s="2" t="s">
        <v>72</v>
      </c>
      <c r="C67" s="18">
        <v>0.97650000000000003</v>
      </c>
      <c r="D67" s="2" t="s">
        <v>65</v>
      </c>
      <c r="E67" s="2">
        <v>3383</v>
      </c>
      <c r="F67" s="4">
        <v>1265793.04</v>
      </c>
      <c r="G67" s="25">
        <v>0.8</v>
      </c>
      <c r="H67" s="25">
        <v>0.95</v>
      </c>
      <c r="I67" s="25">
        <v>1</v>
      </c>
      <c r="K67" s="3">
        <v>6</v>
      </c>
      <c r="L67" s="2" t="s">
        <v>394</v>
      </c>
      <c r="M67" s="27">
        <v>163022.35999999999</v>
      </c>
      <c r="N67" s="27">
        <v>12.88</v>
      </c>
      <c r="O67" s="18">
        <v>0.65790000000000004</v>
      </c>
      <c r="P67" s="4" t="s">
        <v>5</v>
      </c>
    </row>
    <row r="68" spans="1:16" x14ac:dyDescent="0.25">
      <c r="A68" s="3">
        <v>25</v>
      </c>
      <c r="B68" s="2" t="s">
        <v>73</v>
      </c>
      <c r="C68" s="18">
        <v>0.97939999999999994</v>
      </c>
      <c r="D68" s="2" t="s">
        <v>65</v>
      </c>
      <c r="E68" s="2">
        <v>2396.8000000000002</v>
      </c>
      <c r="F68" s="4">
        <v>1265793.04</v>
      </c>
      <c r="G68" s="25">
        <v>0.8</v>
      </c>
      <c r="H68" s="25">
        <v>0.95</v>
      </c>
      <c r="I68" s="25">
        <v>1</v>
      </c>
      <c r="K68" s="3">
        <v>8</v>
      </c>
      <c r="L68" s="2" t="s">
        <v>397</v>
      </c>
      <c r="M68" s="27">
        <v>131261.74</v>
      </c>
      <c r="N68" s="27">
        <v>10.37</v>
      </c>
      <c r="O68" s="18">
        <v>0.76159999999999994</v>
      </c>
      <c r="P68" s="4" t="s">
        <v>5</v>
      </c>
    </row>
    <row r="69" spans="1:16" x14ac:dyDescent="0.25">
      <c r="A69" s="3">
        <v>50</v>
      </c>
      <c r="B69" s="2" t="s">
        <v>74</v>
      </c>
      <c r="C69" s="18">
        <v>0.98209999999999997</v>
      </c>
      <c r="D69" s="2" t="s">
        <v>65</v>
      </c>
      <c r="E69" s="2">
        <v>8714</v>
      </c>
      <c r="F69" s="4">
        <v>1265793.04</v>
      </c>
      <c r="G69" s="25">
        <v>0.8</v>
      </c>
      <c r="H69" s="25">
        <v>0.95</v>
      </c>
      <c r="I69" s="25">
        <v>1</v>
      </c>
      <c r="K69" s="3">
        <v>2</v>
      </c>
      <c r="L69" s="2" t="s">
        <v>389</v>
      </c>
      <c r="M69" s="27">
        <v>106047.08</v>
      </c>
      <c r="N69" s="27">
        <v>8.3800000000000008</v>
      </c>
      <c r="O69" s="18">
        <v>0.84540000000000004</v>
      </c>
      <c r="P69" s="4" t="s">
        <v>5</v>
      </c>
    </row>
    <row r="70" spans="1:16" x14ac:dyDescent="0.25">
      <c r="A70" s="3">
        <v>66</v>
      </c>
      <c r="B70" s="2" t="s">
        <v>75</v>
      </c>
      <c r="C70" s="18">
        <v>0.98480000000000001</v>
      </c>
      <c r="D70" s="2" t="s">
        <v>65</v>
      </c>
      <c r="E70" s="2">
        <v>21942.36</v>
      </c>
      <c r="F70" s="4">
        <v>1265793.04</v>
      </c>
      <c r="G70" s="25">
        <v>0.8</v>
      </c>
      <c r="H70" s="25">
        <v>0.95</v>
      </c>
      <c r="I70" s="25">
        <v>1</v>
      </c>
      <c r="K70" s="3">
        <v>7</v>
      </c>
      <c r="L70" s="2" t="s">
        <v>393</v>
      </c>
      <c r="M70" s="27">
        <v>99984.58</v>
      </c>
      <c r="N70" s="27">
        <v>7.9</v>
      </c>
      <c r="O70" s="18">
        <v>0.9244</v>
      </c>
      <c r="P70" s="4" t="s">
        <v>41</v>
      </c>
    </row>
    <row r="71" spans="1:16" x14ac:dyDescent="0.25">
      <c r="A71" s="3">
        <v>52</v>
      </c>
      <c r="B71" s="2" t="s">
        <v>76</v>
      </c>
      <c r="C71" s="18">
        <v>0.98739999999999994</v>
      </c>
      <c r="D71" s="2" t="s">
        <v>65</v>
      </c>
      <c r="E71" s="2">
        <v>10672.65</v>
      </c>
      <c r="F71" s="4">
        <v>1265793.04</v>
      </c>
      <c r="G71" s="25">
        <v>0.8</v>
      </c>
      <c r="H71" s="25">
        <v>0.95</v>
      </c>
      <c r="I71" s="25">
        <v>1</v>
      </c>
      <c r="K71" s="5">
        <v>5</v>
      </c>
      <c r="L71" s="6" t="s">
        <v>403</v>
      </c>
      <c r="M71" s="28">
        <v>95744.59</v>
      </c>
      <c r="N71" s="28">
        <v>7.56</v>
      </c>
      <c r="O71" s="19">
        <v>1</v>
      </c>
      <c r="P71" s="7" t="s">
        <v>65</v>
      </c>
    </row>
    <row r="72" spans="1:16" x14ac:dyDescent="0.25">
      <c r="A72" s="3">
        <v>3</v>
      </c>
      <c r="B72" s="2" t="s">
        <v>77</v>
      </c>
      <c r="C72" s="18">
        <v>0.98980000000000001</v>
      </c>
      <c r="D72" s="2" t="s">
        <v>65</v>
      </c>
      <c r="E72" s="2">
        <v>19551.03</v>
      </c>
      <c r="F72" s="4">
        <v>1265793.04</v>
      </c>
      <c r="G72" s="25">
        <v>0.8</v>
      </c>
      <c r="H72" s="25">
        <v>0.95</v>
      </c>
      <c r="I72" s="25">
        <v>1</v>
      </c>
    </row>
    <row r="73" spans="1:16" x14ac:dyDescent="0.25">
      <c r="A73" s="3">
        <v>37</v>
      </c>
      <c r="B73" s="2" t="s">
        <v>78</v>
      </c>
      <c r="C73" s="18">
        <v>0.9919</v>
      </c>
      <c r="D73" s="2" t="s">
        <v>65</v>
      </c>
      <c r="E73" s="2">
        <v>24900.13</v>
      </c>
      <c r="F73" s="4">
        <v>1265793.04</v>
      </c>
      <c r="G73" s="25">
        <v>0.8</v>
      </c>
      <c r="H73" s="25">
        <v>0.95</v>
      </c>
      <c r="I73" s="25">
        <v>1</v>
      </c>
    </row>
    <row r="74" spans="1:16" x14ac:dyDescent="0.25">
      <c r="A74" s="3">
        <v>74</v>
      </c>
      <c r="B74" s="2" t="s">
        <v>79</v>
      </c>
      <c r="C74" s="18">
        <v>0.99379999999999991</v>
      </c>
      <c r="D74" s="2" t="s">
        <v>65</v>
      </c>
      <c r="E74" s="2">
        <v>3997.2</v>
      </c>
      <c r="F74" s="4">
        <v>1265793.04</v>
      </c>
      <c r="G74" s="25">
        <v>0.8</v>
      </c>
      <c r="H74" s="25">
        <v>0.95</v>
      </c>
      <c r="I74" s="25">
        <v>1</v>
      </c>
    </row>
    <row r="75" spans="1:16" x14ac:dyDescent="0.25">
      <c r="A75" s="3">
        <v>67</v>
      </c>
      <c r="B75" s="2" t="s">
        <v>80</v>
      </c>
      <c r="C75" s="18">
        <v>0.99569999999999992</v>
      </c>
      <c r="D75" s="2" t="s">
        <v>65</v>
      </c>
      <c r="E75" s="2">
        <v>2432.5</v>
      </c>
      <c r="F75" s="4">
        <v>1265793.04</v>
      </c>
      <c r="G75" s="25">
        <v>0.8</v>
      </c>
      <c r="H75" s="25">
        <v>0.95</v>
      </c>
      <c r="I75" s="25">
        <v>1</v>
      </c>
    </row>
    <row r="76" spans="1:16" x14ac:dyDescent="0.25">
      <c r="A76" s="3">
        <v>15</v>
      </c>
      <c r="B76" s="2" t="s">
        <v>81</v>
      </c>
      <c r="C76" s="18">
        <v>0.99709999999999999</v>
      </c>
      <c r="D76" s="2" t="s">
        <v>65</v>
      </c>
      <c r="E76" s="2">
        <v>8177.49</v>
      </c>
      <c r="F76" s="4">
        <v>1265793.04</v>
      </c>
      <c r="G76" s="25">
        <v>0.8</v>
      </c>
      <c r="H76" s="25">
        <v>0.95</v>
      </c>
      <c r="I76" s="25">
        <v>1</v>
      </c>
    </row>
    <row r="77" spans="1:16" x14ac:dyDescent="0.25">
      <c r="A77" s="3">
        <v>33</v>
      </c>
      <c r="B77" s="2" t="s">
        <v>82</v>
      </c>
      <c r="C77" s="18">
        <v>0.99840000000000007</v>
      </c>
      <c r="D77" s="2" t="s">
        <v>65</v>
      </c>
      <c r="E77" s="2">
        <v>15760.44</v>
      </c>
      <c r="F77" s="4">
        <v>1265793.04</v>
      </c>
      <c r="G77" s="25">
        <v>0.8</v>
      </c>
      <c r="H77" s="25">
        <v>0.95</v>
      </c>
      <c r="I77" s="25">
        <v>1</v>
      </c>
    </row>
    <row r="78" spans="1:16" x14ac:dyDescent="0.25">
      <c r="A78" s="5">
        <v>48</v>
      </c>
      <c r="B78" s="6" t="s">
        <v>83</v>
      </c>
      <c r="C78" s="18">
        <v>0.99950000000000006</v>
      </c>
      <c r="D78" s="6" t="s">
        <v>65</v>
      </c>
      <c r="E78" s="6">
        <v>9171.6299999999992</v>
      </c>
      <c r="F78" s="7">
        <v>1265793.04</v>
      </c>
      <c r="G78" s="25">
        <v>0.8</v>
      </c>
      <c r="H78" s="25">
        <v>0.95</v>
      </c>
      <c r="I78" s="25">
        <v>1</v>
      </c>
    </row>
  </sheetData>
  <phoneticPr fontId="20" type="noConversion"/>
  <pageMargins left="0.7" right="0.7" top="0.75" bottom="0.75" header="0.3" footer="0.3"/>
  <pageSetup paperSize="9" orientation="portrait" r:id="rId2"/>
  <drawing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8189-B55A-4F89-91B0-B271EAE88CBE}">
  <dimension ref="A1:N92"/>
  <sheetViews>
    <sheetView zoomScaleNormal="100" workbookViewId="0">
      <selection activeCell="Q9" sqref="Q9"/>
    </sheetView>
  </sheetViews>
  <sheetFormatPr defaultRowHeight="15" x14ac:dyDescent="0.25"/>
  <cols>
    <col min="1" max="1" width="14.140625" customWidth="1"/>
    <col min="2" max="2" width="33.140625" bestFit="1" customWidth="1"/>
    <col min="3" max="3" width="21.7109375" bestFit="1" customWidth="1"/>
    <col min="4" max="4" width="20" customWidth="1"/>
    <col min="5" max="5" width="10" customWidth="1"/>
    <col min="6" max="6" width="12.140625" customWidth="1"/>
    <col min="7" max="7" width="11.7109375" customWidth="1"/>
    <col min="8" max="8" width="15.7109375" customWidth="1"/>
    <col min="9" max="9" width="17.85546875" customWidth="1"/>
    <col min="10" max="10" width="17.42578125" customWidth="1"/>
    <col min="12" max="12" width="17.28515625" bestFit="1" customWidth="1"/>
    <col min="13" max="13" width="31.85546875" bestFit="1" customWidth="1"/>
  </cols>
  <sheetData>
    <row r="1" spans="1:14" x14ac:dyDescent="0.25">
      <c r="A1" s="41" t="s">
        <v>280</v>
      </c>
      <c r="B1" s="42" t="s">
        <v>281</v>
      </c>
      <c r="C1" s="42" t="s">
        <v>378</v>
      </c>
      <c r="D1" s="42" t="s">
        <v>282</v>
      </c>
      <c r="E1" s="42" t="s">
        <v>374</v>
      </c>
      <c r="F1" s="42" t="s">
        <v>372</v>
      </c>
      <c r="G1" s="42" t="s">
        <v>373</v>
      </c>
      <c r="H1" s="42" t="s">
        <v>375</v>
      </c>
      <c r="I1" s="42" t="s">
        <v>377</v>
      </c>
      <c r="J1" s="43" t="s">
        <v>376</v>
      </c>
      <c r="L1" s="20" t="s">
        <v>463</v>
      </c>
      <c r="M1" s="2" t="s">
        <v>465</v>
      </c>
    </row>
    <row r="2" spans="1:14" x14ac:dyDescent="0.25">
      <c r="A2" s="3" t="s">
        <v>236</v>
      </c>
      <c r="B2" s="2" t="s">
        <v>237</v>
      </c>
      <c r="C2" s="2">
        <v>444</v>
      </c>
      <c r="D2" s="2" t="s">
        <v>193</v>
      </c>
      <c r="E2" s="2">
        <v>8</v>
      </c>
      <c r="F2" s="2">
        <v>18</v>
      </c>
      <c r="G2" s="2" t="s">
        <v>350</v>
      </c>
      <c r="H2" s="2">
        <v>4</v>
      </c>
      <c r="I2" s="2">
        <v>4</v>
      </c>
      <c r="J2" s="4">
        <v>4</v>
      </c>
      <c r="L2" s="21" t="s">
        <v>193</v>
      </c>
      <c r="M2" s="12">
        <v>30</v>
      </c>
    </row>
    <row r="3" spans="1:14" x14ac:dyDescent="0.25">
      <c r="A3" s="3" t="s">
        <v>252</v>
      </c>
      <c r="B3" s="2" t="s">
        <v>253</v>
      </c>
      <c r="C3" s="2">
        <v>444</v>
      </c>
      <c r="D3" s="2" t="s">
        <v>193</v>
      </c>
      <c r="E3" s="2">
        <v>6</v>
      </c>
      <c r="F3" s="2">
        <v>19</v>
      </c>
      <c r="G3" s="2" t="s">
        <v>358</v>
      </c>
      <c r="H3" s="2">
        <v>4</v>
      </c>
      <c r="I3" s="2">
        <v>4</v>
      </c>
      <c r="J3" s="4">
        <v>4</v>
      </c>
      <c r="L3" s="21" t="s">
        <v>198</v>
      </c>
      <c r="M3" s="12">
        <v>2</v>
      </c>
    </row>
    <row r="4" spans="1:14" x14ac:dyDescent="0.25">
      <c r="A4" s="3" t="s">
        <v>254</v>
      </c>
      <c r="B4" s="2" t="s">
        <v>255</v>
      </c>
      <c r="C4" s="2">
        <v>444</v>
      </c>
      <c r="D4" s="2" t="s">
        <v>193</v>
      </c>
      <c r="E4" s="2">
        <v>5</v>
      </c>
      <c r="F4" s="2">
        <v>31</v>
      </c>
      <c r="G4" s="2" t="s">
        <v>359</v>
      </c>
      <c r="H4" s="2">
        <v>4</v>
      </c>
      <c r="I4" s="2">
        <v>4</v>
      </c>
      <c r="J4" s="4">
        <v>4</v>
      </c>
      <c r="L4" s="21" t="s">
        <v>188</v>
      </c>
      <c r="M4" s="12">
        <v>11</v>
      </c>
    </row>
    <row r="5" spans="1:14" x14ac:dyDescent="0.25">
      <c r="A5" s="3" t="s">
        <v>256</v>
      </c>
      <c r="B5" s="2" t="s">
        <v>257</v>
      </c>
      <c r="C5" s="2">
        <v>444</v>
      </c>
      <c r="D5" s="2" t="s">
        <v>193</v>
      </c>
      <c r="E5" s="2">
        <v>5</v>
      </c>
      <c r="F5" s="2">
        <v>14</v>
      </c>
      <c r="G5" s="2" t="s">
        <v>360</v>
      </c>
      <c r="H5" s="2">
        <v>4</v>
      </c>
      <c r="I5" s="2">
        <v>4</v>
      </c>
      <c r="J5" s="4">
        <v>4</v>
      </c>
      <c r="L5" s="21" t="s">
        <v>217</v>
      </c>
      <c r="M5" s="12">
        <v>2</v>
      </c>
    </row>
    <row r="6" spans="1:14" x14ac:dyDescent="0.25">
      <c r="A6" s="3" t="s">
        <v>260</v>
      </c>
      <c r="B6" s="2" t="s">
        <v>261</v>
      </c>
      <c r="C6" s="2">
        <v>444</v>
      </c>
      <c r="D6" s="2" t="s">
        <v>193</v>
      </c>
      <c r="E6" s="2">
        <v>2</v>
      </c>
      <c r="F6" s="2">
        <v>13</v>
      </c>
      <c r="G6" s="2" t="s">
        <v>362</v>
      </c>
      <c r="H6" s="2">
        <v>4</v>
      </c>
      <c r="I6" s="2">
        <v>4</v>
      </c>
      <c r="J6" s="4">
        <v>4</v>
      </c>
      <c r="L6" s="21" t="s">
        <v>141</v>
      </c>
      <c r="M6" s="12">
        <v>15</v>
      </c>
    </row>
    <row r="7" spans="1:14" x14ac:dyDescent="0.25">
      <c r="A7" s="3" t="s">
        <v>264</v>
      </c>
      <c r="B7" s="2" t="s">
        <v>265</v>
      </c>
      <c r="C7" s="2">
        <v>444</v>
      </c>
      <c r="D7" s="2" t="s">
        <v>193</v>
      </c>
      <c r="E7" s="2">
        <v>1</v>
      </c>
      <c r="F7" s="2">
        <v>15</v>
      </c>
      <c r="G7" s="2" t="s">
        <v>364</v>
      </c>
      <c r="H7" s="2">
        <v>4</v>
      </c>
      <c r="I7" s="2">
        <v>4</v>
      </c>
      <c r="J7" s="4">
        <v>4</v>
      </c>
      <c r="L7" s="21" t="s">
        <v>92</v>
      </c>
      <c r="M7" s="12">
        <v>15</v>
      </c>
    </row>
    <row r="8" spans="1:14" x14ac:dyDescent="0.25">
      <c r="A8" s="3" t="s">
        <v>268</v>
      </c>
      <c r="B8" s="2" t="s">
        <v>269</v>
      </c>
      <c r="C8" s="2">
        <v>444</v>
      </c>
      <c r="D8" s="2" t="s">
        <v>193</v>
      </c>
      <c r="E8" s="2">
        <v>1</v>
      </c>
      <c r="F8" s="2">
        <v>30</v>
      </c>
      <c r="G8" s="2" t="s">
        <v>366</v>
      </c>
      <c r="H8" s="2">
        <v>4</v>
      </c>
      <c r="I8" s="2">
        <v>4</v>
      </c>
      <c r="J8" s="4">
        <v>4</v>
      </c>
      <c r="L8" s="21" t="s">
        <v>97</v>
      </c>
      <c r="M8" s="12">
        <v>11</v>
      </c>
    </row>
    <row r="9" spans="1:14" x14ac:dyDescent="0.25">
      <c r="A9" s="3" t="s">
        <v>272</v>
      </c>
      <c r="B9" s="2" t="s">
        <v>273</v>
      </c>
      <c r="C9" s="2">
        <v>444</v>
      </c>
      <c r="D9" s="2" t="s">
        <v>193</v>
      </c>
      <c r="E9" s="2">
        <v>0</v>
      </c>
      <c r="F9" s="2">
        <v>17</v>
      </c>
      <c r="G9" s="2" t="s">
        <v>368</v>
      </c>
      <c r="H9" s="2">
        <v>4</v>
      </c>
      <c r="I9" s="2">
        <v>4</v>
      </c>
      <c r="J9" s="4">
        <v>4</v>
      </c>
      <c r="L9" s="21" t="s">
        <v>104</v>
      </c>
      <c r="M9" s="12">
        <v>5</v>
      </c>
    </row>
    <row r="10" spans="1:14" x14ac:dyDescent="0.25">
      <c r="A10" s="3" t="s">
        <v>276</v>
      </c>
      <c r="B10" s="2" t="s">
        <v>277</v>
      </c>
      <c r="C10" s="2">
        <v>444</v>
      </c>
      <c r="D10" s="2" t="s">
        <v>193</v>
      </c>
      <c r="E10" s="2">
        <v>0</v>
      </c>
      <c r="F10" s="2">
        <v>18</v>
      </c>
      <c r="G10" s="2" t="s">
        <v>370</v>
      </c>
      <c r="H10" s="2">
        <v>4</v>
      </c>
      <c r="I10" s="2">
        <v>4</v>
      </c>
      <c r="J10" s="4">
        <v>4</v>
      </c>
      <c r="L10" s="21" t="s">
        <v>464</v>
      </c>
      <c r="M10" s="12">
        <v>91</v>
      </c>
    </row>
    <row r="11" spans="1:14" x14ac:dyDescent="0.25">
      <c r="A11" s="3" t="s">
        <v>270</v>
      </c>
      <c r="B11" s="2" t="s">
        <v>271</v>
      </c>
      <c r="C11" s="2">
        <v>443</v>
      </c>
      <c r="D11" s="2" t="s">
        <v>193</v>
      </c>
      <c r="E11" s="2">
        <v>1</v>
      </c>
      <c r="F11" s="2">
        <v>14</v>
      </c>
      <c r="G11" s="2" t="s">
        <v>367</v>
      </c>
      <c r="H11" s="2">
        <v>4</v>
      </c>
      <c r="I11" s="2">
        <v>4</v>
      </c>
      <c r="J11" s="4">
        <v>3</v>
      </c>
    </row>
    <row r="12" spans="1:14" x14ac:dyDescent="0.25">
      <c r="A12" s="3" t="s">
        <v>274</v>
      </c>
      <c r="B12" s="2" t="s">
        <v>275</v>
      </c>
      <c r="C12" s="2">
        <v>434</v>
      </c>
      <c r="D12" s="2" t="s">
        <v>193</v>
      </c>
      <c r="E12" s="2">
        <v>0</v>
      </c>
      <c r="F12" s="2">
        <v>10</v>
      </c>
      <c r="G12" s="2" t="s">
        <v>369</v>
      </c>
      <c r="H12" s="2">
        <v>4</v>
      </c>
      <c r="I12" s="2">
        <v>3</v>
      </c>
      <c r="J12" s="4">
        <v>4</v>
      </c>
    </row>
    <row r="13" spans="1:14" x14ac:dyDescent="0.25">
      <c r="A13" s="3" t="s">
        <v>244</v>
      </c>
      <c r="B13" s="2" t="s">
        <v>245</v>
      </c>
      <c r="C13" s="2">
        <v>433</v>
      </c>
      <c r="D13" s="2" t="s">
        <v>193</v>
      </c>
      <c r="E13" s="2">
        <v>7</v>
      </c>
      <c r="F13" s="2">
        <v>11</v>
      </c>
      <c r="G13" s="2" t="s">
        <v>354</v>
      </c>
      <c r="H13" s="2">
        <v>4</v>
      </c>
      <c r="I13" s="2">
        <v>3</v>
      </c>
      <c r="J13" s="4">
        <v>3</v>
      </c>
      <c r="L13" s="21" t="s">
        <v>193</v>
      </c>
      <c r="M13" s="12">
        <v>30</v>
      </c>
      <c r="N13" s="18">
        <f>M13/$M$21</f>
        <v>0.32967032967032966</v>
      </c>
    </row>
    <row r="14" spans="1:14" x14ac:dyDescent="0.25">
      <c r="A14" s="3" t="s">
        <v>246</v>
      </c>
      <c r="B14" s="2" t="s">
        <v>247</v>
      </c>
      <c r="C14" s="2">
        <v>433</v>
      </c>
      <c r="D14" s="2" t="s">
        <v>193</v>
      </c>
      <c r="E14" s="2">
        <v>6</v>
      </c>
      <c r="F14" s="2">
        <v>11</v>
      </c>
      <c r="G14" s="2" t="s">
        <v>355</v>
      </c>
      <c r="H14" s="2">
        <v>4</v>
      </c>
      <c r="I14" s="2">
        <v>3</v>
      </c>
      <c r="J14" s="4">
        <v>3</v>
      </c>
      <c r="L14" s="21" t="s">
        <v>198</v>
      </c>
      <c r="M14" s="12">
        <v>2</v>
      </c>
      <c r="N14" s="18">
        <f t="shared" ref="N14:N20" si="0">M14/$M$21</f>
        <v>2.197802197802198E-2</v>
      </c>
    </row>
    <row r="15" spans="1:14" x14ac:dyDescent="0.25">
      <c r="A15" s="3" t="s">
        <v>258</v>
      </c>
      <c r="B15" s="2" t="s">
        <v>259</v>
      </c>
      <c r="C15" s="2">
        <v>433</v>
      </c>
      <c r="D15" s="2" t="s">
        <v>193</v>
      </c>
      <c r="E15" s="2">
        <v>2</v>
      </c>
      <c r="F15" s="2">
        <v>10</v>
      </c>
      <c r="G15" s="2" t="s">
        <v>361</v>
      </c>
      <c r="H15" s="2">
        <v>4</v>
      </c>
      <c r="I15" s="2">
        <v>3</v>
      </c>
      <c r="J15" s="4">
        <v>3</v>
      </c>
      <c r="L15" s="21" t="s">
        <v>188</v>
      </c>
      <c r="M15" s="12">
        <v>11</v>
      </c>
      <c r="N15" s="18">
        <f t="shared" si="0"/>
        <v>0.12087912087912088</v>
      </c>
    </row>
    <row r="16" spans="1:14" x14ac:dyDescent="0.25">
      <c r="A16" s="3" t="s">
        <v>191</v>
      </c>
      <c r="B16" s="2" t="s">
        <v>192</v>
      </c>
      <c r="C16" s="2">
        <v>344</v>
      </c>
      <c r="D16" s="2" t="s">
        <v>193</v>
      </c>
      <c r="E16" s="2">
        <v>22</v>
      </c>
      <c r="F16" s="2">
        <v>28</v>
      </c>
      <c r="G16" s="2" t="s">
        <v>329</v>
      </c>
      <c r="H16" s="2">
        <v>3</v>
      </c>
      <c r="I16" s="2">
        <v>4</v>
      </c>
      <c r="J16" s="4">
        <v>4</v>
      </c>
      <c r="L16" s="21" t="s">
        <v>217</v>
      </c>
      <c r="M16" s="12">
        <v>2</v>
      </c>
      <c r="N16" s="18">
        <f t="shared" si="0"/>
        <v>2.197802197802198E-2</v>
      </c>
    </row>
    <row r="17" spans="1:14" x14ac:dyDescent="0.25">
      <c r="A17" s="3" t="s">
        <v>201</v>
      </c>
      <c r="B17" s="2" t="s">
        <v>202</v>
      </c>
      <c r="C17" s="2">
        <v>344</v>
      </c>
      <c r="D17" s="2" t="s">
        <v>193</v>
      </c>
      <c r="E17" s="2">
        <v>20</v>
      </c>
      <c r="F17" s="2">
        <v>14</v>
      </c>
      <c r="G17" s="2" t="s">
        <v>333</v>
      </c>
      <c r="H17" s="2">
        <v>3</v>
      </c>
      <c r="I17" s="2">
        <v>4</v>
      </c>
      <c r="J17" s="4">
        <v>4</v>
      </c>
      <c r="L17" s="21" t="s">
        <v>141</v>
      </c>
      <c r="M17" s="12">
        <v>15</v>
      </c>
      <c r="N17" s="18">
        <f t="shared" si="0"/>
        <v>0.16483516483516483</v>
      </c>
    </row>
    <row r="18" spans="1:14" x14ac:dyDescent="0.25">
      <c r="A18" s="3" t="s">
        <v>205</v>
      </c>
      <c r="B18" s="2" t="s">
        <v>206</v>
      </c>
      <c r="C18" s="2">
        <v>344</v>
      </c>
      <c r="D18" s="2" t="s">
        <v>193</v>
      </c>
      <c r="E18" s="2">
        <v>15</v>
      </c>
      <c r="F18" s="2">
        <v>12</v>
      </c>
      <c r="G18" s="2" t="s">
        <v>335</v>
      </c>
      <c r="H18" s="2">
        <v>3</v>
      </c>
      <c r="I18" s="2">
        <v>4</v>
      </c>
      <c r="J18" s="4">
        <v>4</v>
      </c>
      <c r="L18" s="21" t="s">
        <v>92</v>
      </c>
      <c r="M18" s="12">
        <v>15</v>
      </c>
      <c r="N18" s="18">
        <f t="shared" si="0"/>
        <v>0.16483516483516483</v>
      </c>
    </row>
    <row r="19" spans="1:14" x14ac:dyDescent="0.25">
      <c r="A19" s="3" t="s">
        <v>222</v>
      </c>
      <c r="B19" s="2" t="s">
        <v>223</v>
      </c>
      <c r="C19" s="2">
        <v>344</v>
      </c>
      <c r="D19" s="2" t="s">
        <v>193</v>
      </c>
      <c r="E19" s="2">
        <v>12</v>
      </c>
      <c r="F19" s="2">
        <v>14</v>
      </c>
      <c r="G19" s="2" t="s">
        <v>343</v>
      </c>
      <c r="H19" s="2">
        <v>3</v>
      </c>
      <c r="I19" s="2">
        <v>4</v>
      </c>
      <c r="J19" s="4">
        <v>4</v>
      </c>
      <c r="L19" s="21" t="s">
        <v>97</v>
      </c>
      <c r="M19" s="12">
        <v>11</v>
      </c>
      <c r="N19" s="18">
        <f t="shared" si="0"/>
        <v>0.12087912087912088</v>
      </c>
    </row>
    <row r="20" spans="1:14" x14ac:dyDescent="0.25">
      <c r="A20" s="3" t="s">
        <v>230</v>
      </c>
      <c r="B20" s="2" t="s">
        <v>231</v>
      </c>
      <c r="C20" s="2">
        <v>344</v>
      </c>
      <c r="D20" s="2" t="s">
        <v>193</v>
      </c>
      <c r="E20" s="2">
        <v>9</v>
      </c>
      <c r="F20" s="2">
        <v>14</v>
      </c>
      <c r="G20" s="2" t="s">
        <v>347</v>
      </c>
      <c r="H20" s="2">
        <v>3</v>
      </c>
      <c r="I20" s="2">
        <v>4</v>
      </c>
      <c r="J20" s="4">
        <v>4</v>
      </c>
      <c r="L20" s="21" t="s">
        <v>104</v>
      </c>
      <c r="M20" s="12">
        <v>5</v>
      </c>
      <c r="N20" s="18">
        <f t="shared" si="0"/>
        <v>5.4945054945054944E-2</v>
      </c>
    </row>
    <row r="21" spans="1:14" x14ac:dyDescent="0.25">
      <c r="A21" s="3" t="s">
        <v>232</v>
      </c>
      <c r="B21" s="2" t="s">
        <v>233</v>
      </c>
      <c r="C21" s="2">
        <v>344</v>
      </c>
      <c r="D21" s="2" t="s">
        <v>193</v>
      </c>
      <c r="E21" s="2">
        <v>9</v>
      </c>
      <c r="F21" s="2">
        <v>19</v>
      </c>
      <c r="G21" s="2" t="s">
        <v>348</v>
      </c>
      <c r="H21" s="2">
        <v>3</v>
      </c>
      <c r="I21" s="2">
        <v>4</v>
      </c>
      <c r="J21" s="4">
        <v>4</v>
      </c>
      <c r="M21" s="24">
        <f>SUM(M13:M20)</f>
        <v>91</v>
      </c>
    </row>
    <row r="22" spans="1:14" x14ac:dyDescent="0.25">
      <c r="A22" s="3" t="s">
        <v>199</v>
      </c>
      <c r="B22" s="2" t="s">
        <v>200</v>
      </c>
      <c r="C22" s="2">
        <v>343</v>
      </c>
      <c r="D22" s="2" t="s">
        <v>193</v>
      </c>
      <c r="E22" s="2">
        <v>21</v>
      </c>
      <c r="F22" s="2">
        <v>15</v>
      </c>
      <c r="G22" s="2" t="s">
        <v>332</v>
      </c>
      <c r="H22" s="2">
        <v>3</v>
      </c>
      <c r="I22" s="2">
        <v>4</v>
      </c>
      <c r="J22" s="4">
        <v>3</v>
      </c>
    </row>
    <row r="23" spans="1:14" x14ac:dyDescent="0.25">
      <c r="A23" s="3" t="s">
        <v>228</v>
      </c>
      <c r="B23" s="2" t="s">
        <v>229</v>
      </c>
      <c r="C23" s="2">
        <v>343</v>
      </c>
      <c r="D23" s="2" t="s">
        <v>193</v>
      </c>
      <c r="E23" s="2">
        <v>9</v>
      </c>
      <c r="F23" s="2">
        <v>14</v>
      </c>
      <c r="G23" s="2" t="s">
        <v>346</v>
      </c>
      <c r="H23" s="2">
        <v>3</v>
      </c>
      <c r="I23" s="2">
        <v>4</v>
      </c>
      <c r="J23" s="4">
        <v>3</v>
      </c>
    </row>
    <row r="24" spans="1:14" x14ac:dyDescent="0.25">
      <c r="A24" s="3" t="s">
        <v>226</v>
      </c>
      <c r="B24" s="2" t="s">
        <v>227</v>
      </c>
      <c r="C24" s="2">
        <v>334</v>
      </c>
      <c r="D24" s="2" t="s">
        <v>193</v>
      </c>
      <c r="E24" s="2">
        <v>9</v>
      </c>
      <c r="F24" s="2">
        <v>10</v>
      </c>
      <c r="G24" s="2" t="s">
        <v>345</v>
      </c>
      <c r="H24" s="2">
        <v>3</v>
      </c>
      <c r="I24" s="2">
        <v>3</v>
      </c>
      <c r="J24" s="4">
        <v>4</v>
      </c>
    </row>
    <row r="25" spans="1:14" x14ac:dyDescent="0.25">
      <c r="A25" s="3" t="s">
        <v>194</v>
      </c>
      <c r="B25" s="2" t="s">
        <v>195</v>
      </c>
      <c r="C25" s="2">
        <v>333</v>
      </c>
      <c r="D25" s="2" t="s">
        <v>193</v>
      </c>
      <c r="E25" s="2">
        <v>22</v>
      </c>
      <c r="F25" s="2">
        <v>10</v>
      </c>
      <c r="G25" s="2" t="s">
        <v>330</v>
      </c>
      <c r="H25" s="2">
        <v>3</v>
      </c>
      <c r="I25" s="2">
        <v>3</v>
      </c>
      <c r="J25" s="4">
        <v>3</v>
      </c>
    </row>
    <row r="26" spans="1:14" x14ac:dyDescent="0.25">
      <c r="A26" s="3" t="s">
        <v>203</v>
      </c>
      <c r="B26" s="2" t="s">
        <v>204</v>
      </c>
      <c r="C26" s="2">
        <v>333</v>
      </c>
      <c r="D26" s="2" t="s">
        <v>193</v>
      </c>
      <c r="E26" s="2">
        <v>16</v>
      </c>
      <c r="F26" s="2">
        <v>10</v>
      </c>
      <c r="G26" s="2" t="s">
        <v>334</v>
      </c>
      <c r="H26" s="2">
        <v>3</v>
      </c>
      <c r="I26" s="2">
        <v>3</v>
      </c>
      <c r="J26" s="4">
        <v>3</v>
      </c>
    </row>
    <row r="27" spans="1:14" x14ac:dyDescent="0.25">
      <c r="A27" s="3" t="s">
        <v>207</v>
      </c>
      <c r="B27" s="2" t="s">
        <v>208</v>
      </c>
      <c r="C27" s="2">
        <v>333</v>
      </c>
      <c r="D27" s="2" t="s">
        <v>193</v>
      </c>
      <c r="E27" s="2">
        <v>15</v>
      </c>
      <c r="F27" s="2">
        <v>10</v>
      </c>
      <c r="G27" s="2" t="s">
        <v>336</v>
      </c>
      <c r="H27" s="2">
        <v>3</v>
      </c>
      <c r="I27" s="2">
        <v>3</v>
      </c>
      <c r="J27" s="4">
        <v>3</v>
      </c>
    </row>
    <row r="28" spans="1:14" x14ac:dyDescent="0.25">
      <c r="A28" s="3" t="s">
        <v>209</v>
      </c>
      <c r="B28" s="2" t="s">
        <v>210</v>
      </c>
      <c r="C28" s="2">
        <v>333</v>
      </c>
      <c r="D28" s="2" t="s">
        <v>193</v>
      </c>
      <c r="E28" s="2">
        <v>15</v>
      </c>
      <c r="F28" s="2">
        <v>12</v>
      </c>
      <c r="G28" s="2" t="s">
        <v>337</v>
      </c>
      <c r="H28" s="2">
        <v>3</v>
      </c>
      <c r="I28" s="2">
        <v>3</v>
      </c>
      <c r="J28" s="4">
        <v>3</v>
      </c>
    </row>
    <row r="29" spans="1:14" x14ac:dyDescent="0.25">
      <c r="A29" s="3" t="s">
        <v>213</v>
      </c>
      <c r="B29" s="2" t="s">
        <v>214</v>
      </c>
      <c r="C29" s="2">
        <v>333</v>
      </c>
      <c r="D29" s="2" t="s">
        <v>193</v>
      </c>
      <c r="E29" s="2">
        <v>14</v>
      </c>
      <c r="F29" s="2">
        <v>8</v>
      </c>
      <c r="G29" s="2" t="s">
        <v>339</v>
      </c>
      <c r="H29" s="2">
        <v>3</v>
      </c>
      <c r="I29" s="2">
        <v>3</v>
      </c>
      <c r="J29" s="4">
        <v>3</v>
      </c>
    </row>
    <row r="30" spans="1:14" x14ac:dyDescent="0.25">
      <c r="A30" s="3" t="s">
        <v>220</v>
      </c>
      <c r="B30" s="2" t="s">
        <v>221</v>
      </c>
      <c r="C30" s="2">
        <v>333</v>
      </c>
      <c r="D30" s="2" t="s">
        <v>193</v>
      </c>
      <c r="E30" s="2">
        <v>13</v>
      </c>
      <c r="F30" s="2">
        <v>10</v>
      </c>
      <c r="G30" s="2" t="s">
        <v>342</v>
      </c>
      <c r="H30" s="2">
        <v>3</v>
      </c>
      <c r="I30" s="2">
        <v>3</v>
      </c>
      <c r="J30" s="4">
        <v>3</v>
      </c>
    </row>
    <row r="31" spans="1:14" x14ac:dyDescent="0.25">
      <c r="A31" s="3" t="s">
        <v>224</v>
      </c>
      <c r="B31" s="2" t="s">
        <v>225</v>
      </c>
      <c r="C31" s="2">
        <v>333</v>
      </c>
      <c r="D31" s="2" t="s">
        <v>193</v>
      </c>
      <c r="E31" s="2">
        <v>12</v>
      </c>
      <c r="F31" s="2">
        <v>9</v>
      </c>
      <c r="G31" s="2" t="s">
        <v>344</v>
      </c>
      <c r="H31" s="2">
        <v>3</v>
      </c>
      <c r="I31" s="2">
        <v>3</v>
      </c>
      <c r="J31" s="4">
        <v>3</v>
      </c>
    </row>
    <row r="32" spans="1:14" x14ac:dyDescent="0.25">
      <c r="A32" s="3" t="s">
        <v>248</v>
      </c>
      <c r="B32" s="2" t="s">
        <v>249</v>
      </c>
      <c r="C32" s="2">
        <v>432</v>
      </c>
      <c r="D32" s="2" t="s">
        <v>198</v>
      </c>
      <c r="E32" s="2">
        <v>6</v>
      </c>
      <c r="F32" s="2">
        <v>12</v>
      </c>
      <c r="G32" s="2" t="s">
        <v>356</v>
      </c>
      <c r="H32" s="2">
        <v>4</v>
      </c>
      <c r="I32" s="2">
        <v>3</v>
      </c>
      <c r="J32" s="4">
        <v>2</v>
      </c>
    </row>
    <row r="33" spans="1:10" x14ac:dyDescent="0.25">
      <c r="A33" s="3" t="s">
        <v>196</v>
      </c>
      <c r="B33" s="2" t="s">
        <v>197</v>
      </c>
      <c r="C33" s="2">
        <v>332</v>
      </c>
      <c r="D33" s="2" t="s">
        <v>198</v>
      </c>
      <c r="E33" s="2">
        <v>22</v>
      </c>
      <c r="F33" s="2">
        <v>10</v>
      </c>
      <c r="G33" s="2" t="s">
        <v>331</v>
      </c>
      <c r="H33" s="2">
        <v>3</v>
      </c>
      <c r="I33" s="2">
        <v>3</v>
      </c>
      <c r="J33" s="4">
        <v>2</v>
      </c>
    </row>
    <row r="34" spans="1:10" x14ac:dyDescent="0.25">
      <c r="A34" s="3" t="s">
        <v>278</v>
      </c>
      <c r="B34" s="2" t="s">
        <v>279</v>
      </c>
      <c r="C34" s="2">
        <v>423</v>
      </c>
      <c r="D34" s="2" t="s">
        <v>188</v>
      </c>
      <c r="E34" s="2">
        <v>0</v>
      </c>
      <c r="F34" s="2">
        <v>7</v>
      </c>
      <c r="G34" s="2" t="s">
        <v>371</v>
      </c>
      <c r="H34" s="2">
        <v>4</v>
      </c>
      <c r="I34" s="2">
        <v>2</v>
      </c>
      <c r="J34" s="4">
        <v>3</v>
      </c>
    </row>
    <row r="35" spans="1:10" x14ac:dyDescent="0.25">
      <c r="A35" s="3" t="s">
        <v>262</v>
      </c>
      <c r="B35" s="2" t="s">
        <v>263</v>
      </c>
      <c r="C35" s="2">
        <v>422</v>
      </c>
      <c r="D35" s="2" t="s">
        <v>188</v>
      </c>
      <c r="E35" s="2">
        <v>2</v>
      </c>
      <c r="F35" s="2">
        <v>6</v>
      </c>
      <c r="G35" s="2" t="s">
        <v>363</v>
      </c>
      <c r="H35" s="2">
        <v>4</v>
      </c>
      <c r="I35" s="2">
        <v>2</v>
      </c>
      <c r="J35" s="4">
        <v>2</v>
      </c>
    </row>
    <row r="36" spans="1:10" x14ac:dyDescent="0.25">
      <c r="A36" s="3" t="s">
        <v>266</v>
      </c>
      <c r="B36" s="2" t="s">
        <v>267</v>
      </c>
      <c r="C36" s="2">
        <v>422</v>
      </c>
      <c r="D36" s="2" t="s">
        <v>188</v>
      </c>
      <c r="E36" s="2">
        <v>1</v>
      </c>
      <c r="F36" s="2">
        <v>6</v>
      </c>
      <c r="G36" s="2" t="s">
        <v>365</v>
      </c>
      <c r="H36" s="2">
        <v>4</v>
      </c>
      <c r="I36" s="2">
        <v>2</v>
      </c>
      <c r="J36" s="4">
        <v>2</v>
      </c>
    </row>
    <row r="37" spans="1:10" x14ac:dyDescent="0.25">
      <c r="A37" s="3" t="s">
        <v>238</v>
      </c>
      <c r="B37" s="2" t="s">
        <v>239</v>
      </c>
      <c r="C37" s="2">
        <v>421</v>
      </c>
      <c r="D37" s="2" t="s">
        <v>188</v>
      </c>
      <c r="E37" s="2">
        <v>8</v>
      </c>
      <c r="F37" s="2">
        <v>6</v>
      </c>
      <c r="G37" s="2" t="s">
        <v>351</v>
      </c>
      <c r="H37" s="2">
        <v>4</v>
      </c>
      <c r="I37" s="2">
        <v>2</v>
      </c>
      <c r="J37" s="4">
        <v>1</v>
      </c>
    </row>
    <row r="38" spans="1:10" x14ac:dyDescent="0.25">
      <c r="A38" s="3" t="s">
        <v>240</v>
      </c>
      <c r="B38" s="2" t="s">
        <v>241</v>
      </c>
      <c r="C38" s="2">
        <v>421</v>
      </c>
      <c r="D38" s="2" t="s">
        <v>188</v>
      </c>
      <c r="E38" s="2">
        <v>7</v>
      </c>
      <c r="F38" s="2">
        <v>7</v>
      </c>
      <c r="G38" s="2" t="s">
        <v>352</v>
      </c>
      <c r="H38" s="2">
        <v>4</v>
      </c>
      <c r="I38" s="2">
        <v>2</v>
      </c>
      <c r="J38" s="4">
        <v>1</v>
      </c>
    </row>
    <row r="39" spans="1:10" x14ac:dyDescent="0.25">
      <c r="A39" s="3" t="s">
        <v>250</v>
      </c>
      <c r="B39" s="2" t="s">
        <v>251</v>
      </c>
      <c r="C39" s="2">
        <v>421</v>
      </c>
      <c r="D39" s="2" t="s">
        <v>188</v>
      </c>
      <c r="E39" s="2">
        <v>6</v>
      </c>
      <c r="F39" s="2">
        <v>6</v>
      </c>
      <c r="G39" s="2" t="s">
        <v>357</v>
      </c>
      <c r="H39" s="2">
        <v>4</v>
      </c>
      <c r="I39" s="2">
        <v>2</v>
      </c>
      <c r="J39" s="4">
        <v>1</v>
      </c>
    </row>
    <row r="40" spans="1:10" x14ac:dyDescent="0.25">
      <c r="A40" s="3" t="s">
        <v>234</v>
      </c>
      <c r="B40" s="2" t="s">
        <v>235</v>
      </c>
      <c r="C40" s="2">
        <v>323</v>
      </c>
      <c r="D40" s="2" t="s">
        <v>188</v>
      </c>
      <c r="E40" s="2">
        <v>8</v>
      </c>
      <c r="F40" s="2">
        <v>8</v>
      </c>
      <c r="G40" s="2" t="s">
        <v>349</v>
      </c>
      <c r="H40" s="2">
        <v>3</v>
      </c>
      <c r="I40" s="2">
        <v>2</v>
      </c>
      <c r="J40" s="4">
        <v>3</v>
      </c>
    </row>
    <row r="41" spans="1:10" x14ac:dyDescent="0.25">
      <c r="A41" s="3" t="s">
        <v>186</v>
      </c>
      <c r="B41" s="2" t="s">
        <v>187</v>
      </c>
      <c r="C41" s="2">
        <v>322</v>
      </c>
      <c r="D41" s="2" t="s">
        <v>188</v>
      </c>
      <c r="E41" s="2">
        <v>23</v>
      </c>
      <c r="F41" s="2">
        <v>8</v>
      </c>
      <c r="G41" s="2" t="s">
        <v>327</v>
      </c>
      <c r="H41" s="2">
        <v>3</v>
      </c>
      <c r="I41" s="2">
        <v>2</v>
      </c>
      <c r="J41" s="4">
        <v>2</v>
      </c>
    </row>
    <row r="42" spans="1:10" x14ac:dyDescent="0.25">
      <c r="A42" s="3" t="s">
        <v>211</v>
      </c>
      <c r="B42" s="2" t="s">
        <v>212</v>
      </c>
      <c r="C42" s="2">
        <v>322</v>
      </c>
      <c r="D42" s="2" t="s">
        <v>188</v>
      </c>
      <c r="E42" s="2">
        <v>14</v>
      </c>
      <c r="F42" s="2">
        <v>5</v>
      </c>
      <c r="G42" s="2" t="s">
        <v>338</v>
      </c>
      <c r="H42" s="2">
        <v>3</v>
      </c>
      <c r="I42" s="2">
        <v>2</v>
      </c>
      <c r="J42" s="4">
        <v>2</v>
      </c>
    </row>
    <row r="43" spans="1:10" x14ac:dyDescent="0.25">
      <c r="A43" s="3" t="s">
        <v>218</v>
      </c>
      <c r="B43" s="2" t="s">
        <v>219</v>
      </c>
      <c r="C43" s="2">
        <v>322</v>
      </c>
      <c r="D43" s="2" t="s">
        <v>188</v>
      </c>
      <c r="E43" s="2">
        <v>13</v>
      </c>
      <c r="F43" s="2">
        <v>7</v>
      </c>
      <c r="G43" s="2" t="s">
        <v>341</v>
      </c>
      <c r="H43" s="2">
        <v>3</v>
      </c>
      <c r="I43" s="2">
        <v>2</v>
      </c>
      <c r="J43" s="4">
        <v>2</v>
      </c>
    </row>
    <row r="44" spans="1:10" x14ac:dyDescent="0.25">
      <c r="A44" s="3" t="s">
        <v>189</v>
      </c>
      <c r="B44" s="2" t="s">
        <v>190</v>
      </c>
      <c r="C44" s="2">
        <v>321</v>
      </c>
      <c r="D44" s="2" t="s">
        <v>188</v>
      </c>
      <c r="E44" s="2">
        <v>23</v>
      </c>
      <c r="F44" s="2">
        <v>5</v>
      </c>
      <c r="G44" s="2" t="s">
        <v>328</v>
      </c>
      <c r="H44" s="2">
        <v>3</v>
      </c>
      <c r="I44" s="2">
        <v>2</v>
      </c>
      <c r="J44" s="4">
        <v>1</v>
      </c>
    </row>
    <row r="45" spans="1:10" x14ac:dyDescent="0.25">
      <c r="A45" s="3" t="s">
        <v>242</v>
      </c>
      <c r="B45" s="2" t="s">
        <v>243</v>
      </c>
      <c r="C45" s="2">
        <v>411</v>
      </c>
      <c r="D45" s="2" t="s">
        <v>217</v>
      </c>
      <c r="E45" s="2">
        <v>7</v>
      </c>
      <c r="F45" s="2">
        <v>3</v>
      </c>
      <c r="G45" s="2" t="s">
        <v>353</v>
      </c>
      <c r="H45" s="2">
        <v>4</v>
      </c>
      <c r="I45" s="2">
        <v>1</v>
      </c>
      <c r="J45" s="4">
        <v>1</v>
      </c>
    </row>
    <row r="46" spans="1:10" x14ac:dyDescent="0.25">
      <c r="A46" s="3" t="s">
        <v>215</v>
      </c>
      <c r="B46" s="2" t="s">
        <v>216</v>
      </c>
      <c r="C46" s="2">
        <v>311</v>
      </c>
      <c r="D46" s="2" t="s">
        <v>217</v>
      </c>
      <c r="E46" s="2">
        <v>14</v>
      </c>
      <c r="F46" s="2">
        <v>4</v>
      </c>
      <c r="G46" s="2" t="s">
        <v>340</v>
      </c>
      <c r="H46" s="2">
        <v>3</v>
      </c>
      <c r="I46" s="2">
        <v>1</v>
      </c>
      <c r="J46" s="4">
        <v>1</v>
      </c>
    </row>
    <row r="47" spans="1:10" x14ac:dyDescent="0.25">
      <c r="A47" s="3" t="s">
        <v>176</v>
      </c>
      <c r="B47" s="2" t="s">
        <v>177</v>
      </c>
      <c r="C47" s="2">
        <v>244</v>
      </c>
      <c r="D47" s="2" t="s">
        <v>141</v>
      </c>
      <c r="E47" s="2">
        <v>27</v>
      </c>
      <c r="F47" s="2">
        <v>15</v>
      </c>
      <c r="G47" s="2" t="s">
        <v>322</v>
      </c>
      <c r="H47" s="2">
        <v>2</v>
      </c>
      <c r="I47" s="2">
        <v>4</v>
      </c>
      <c r="J47" s="4">
        <v>4</v>
      </c>
    </row>
    <row r="48" spans="1:10" x14ac:dyDescent="0.25">
      <c r="A48" s="3" t="s">
        <v>184</v>
      </c>
      <c r="B48" s="2" t="s">
        <v>185</v>
      </c>
      <c r="C48" s="2">
        <v>243</v>
      </c>
      <c r="D48" s="2" t="s">
        <v>141</v>
      </c>
      <c r="E48" s="2">
        <v>26</v>
      </c>
      <c r="F48" s="2">
        <v>13</v>
      </c>
      <c r="G48" s="2" t="s">
        <v>326</v>
      </c>
      <c r="H48" s="2">
        <v>2</v>
      </c>
      <c r="I48" s="2">
        <v>4</v>
      </c>
      <c r="J48" s="4">
        <v>3</v>
      </c>
    </row>
    <row r="49" spans="1:10" x14ac:dyDescent="0.25">
      <c r="A49" s="3" t="s">
        <v>158</v>
      </c>
      <c r="B49" s="2" t="s">
        <v>159</v>
      </c>
      <c r="C49" s="2">
        <v>233</v>
      </c>
      <c r="D49" s="2" t="s">
        <v>141</v>
      </c>
      <c r="E49" s="2">
        <v>42</v>
      </c>
      <c r="F49" s="2">
        <v>9</v>
      </c>
      <c r="G49" s="2" t="s">
        <v>313</v>
      </c>
      <c r="H49" s="2">
        <v>2</v>
      </c>
      <c r="I49" s="2">
        <v>3</v>
      </c>
      <c r="J49" s="4">
        <v>3</v>
      </c>
    </row>
    <row r="50" spans="1:10" x14ac:dyDescent="0.25">
      <c r="A50" s="3" t="s">
        <v>166</v>
      </c>
      <c r="B50" s="2" t="s">
        <v>167</v>
      </c>
      <c r="C50" s="2">
        <v>233</v>
      </c>
      <c r="D50" s="2" t="s">
        <v>141</v>
      </c>
      <c r="E50" s="2">
        <v>34</v>
      </c>
      <c r="F50" s="2">
        <v>11</v>
      </c>
      <c r="G50" s="2" t="s">
        <v>317</v>
      </c>
      <c r="H50" s="2">
        <v>2</v>
      </c>
      <c r="I50" s="2">
        <v>3</v>
      </c>
      <c r="J50" s="4">
        <v>3</v>
      </c>
    </row>
    <row r="51" spans="1:10" x14ac:dyDescent="0.25">
      <c r="A51" s="3" t="s">
        <v>139</v>
      </c>
      <c r="B51" s="2" t="s">
        <v>140</v>
      </c>
      <c r="C51" s="2">
        <v>232</v>
      </c>
      <c r="D51" s="2" t="s">
        <v>141</v>
      </c>
      <c r="E51" s="2">
        <v>61</v>
      </c>
      <c r="F51" s="2">
        <v>10</v>
      </c>
      <c r="G51" s="2" t="s">
        <v>304</v>
      </c>
      <c r="H51" s="2">
        <v>2</v>
      </c>
      <c r="I51" s="2">
        <v>3</v>
      </c>
      <c r="J51" s="4">
        <v>2</v>
      </c>
    </row>
    <row r="52" spans="1:10" x14ac:dyDescent="0.25">
      <c r="A52" s="3" t="s">
        <v>142</v>
      </c>
      <c r="B52" s="2" t="s">
        <v>143</v>
      </c>
      <c r="C52" s="2">
        <v>232</v>
      </c>
      <c r="D52" s="2" t="s">
        <v>141</v>
      </c>
      <c r="E52" s="2">
        <v>58</v>
      </c>
      <c r="F52" s="2">
        <v>9</v>
      </c>
      <c r="G52" s="2" t="s">
        <v>305</v>
      </c>
      <c r="H52" s="2">
        <v>2</v>
      </c>
      <c r="I52" s="2">
        <v>3</v>
      </c>
      <c r="J52" s="4">
        <v>2</v>
      </c>
    </row>
    <row r="53" spans="1:10" x14ac:dyDescent="0.25">
      <c r="A53" s="3" t="s">
        <v>146</v>
      </c>
      <c r="B53" s="2" t="s">
        <v>147</v>
      </c>
      <c r="C53" s="2">
        <v>232</v>
      </c>
      <c r="D53" s="2" t="s">
        <v>141</v>
      </c>
      <c r="E53" s="2">
        <v>51</v>
      </c>
      <c r="F53" s="2">
        <v>10</v>
      </c>
      <c r="G53" s="2" t="s">
        <v>307</v>
      </c>
      <c r="H53" s="2">
        <v>2</v>
      </c>
      <c r="I53" s="2">
        <v>3</v>
      </c>
      <c r="J53" s="4">
        <v>2</v>
      </c>
    </row>
    <row r="54" spans="1:10" x14ac:dyDescent="0.25">
      <c r="A54" s="3" t="s">
        <v>162</v>
      </c>
      <c r="B54" s="2" t="s">
        <v>163</v>
      </c>
      <c r="C54" s="2">
        <v>232</v>
      </c>
      <c r="D54" s="2" t="s">
        <v>141</v>
      </c>
      <c r="E54" s="2">
        <v>36</v>
      </c>
      <c r="F54" s="2">
        <v>9</v>
      </c>
      <c r="G54" s="2" t="s">
        <v>315</v>
      </c>
      <c r="H54" s="2">
        <v>2</v>
      </c>
      <c r="I54" s="2">
        <v>3</v>
      </c>
      <c r="J54" s="4">
        <v>2</v>
      </c>
    </row>
    <row r="55" spans="1:10" x14ac:dyDescent="0.25">
      <c r="A55" s="3" t="s">
        <v>170</v>
      </c>
      <c r="B55" s="2" t="s">
        <v>171</v>
      </c>
      <c r="C55" s="2">
        <v>223</v>
      </c>
      <c r="D55" s="2" t="s">
        <v>141</v>
      </c>
      <c r="E55" s="2">
        <v>29</v>
      </c>
      <c r="F55" s="2">
        <v>7</v>
      </c>
      <c r="G55" s="2" t="s">
        <v>319</v>
      </c>
      <c r="H55" s="2">
        <v>2</v>
      </c>
      <c r="I55" s="2">
        <v>2</v>
      </c>
      <c r="J55" s="4">
        <v>3</v>
      </c>
    </row>
    <row r="56" spans="1:10" x14ac:dyDescent="0.25">
      <c r="A56" s="3" t="s">
        <v>144</v>
      </c>
      <c r="B56" s="2" t="s">
        <v>145</v>
      </c>
      <c r="C56" s="2">
        <v>222</v>
      </c>
      <c r="D56" s="2" t="s">
        <v>141</v>
      </c>
      <c r="E56" s="2">
        <v>55</v>
      </c>
      <c r="F56" s="2">
        <v>5</v>
      </c>
      <c r="G56" s="2" t="s">
        <v>306</v>
      </c>
      <c r="H56" s="2">
        <v>2</v>
      </c>
      <c r="I56" s="2">
        <v>2</v>
      </c>
      <c r="J56" s="4">
        <v>2</v>
      </c>
    </row>
    <row r="57" spans="1:10" x14ac:dyDescent="0.25">
      <c r="A57" s="3" t="s">
        <v>148</v>
      </c>
      <c r="B57" s="2" t="s">
        <v>149</v>
      </c>
      <c r="C57" s="2">
        <v>222</v>
      </c>
      <c r="D57" s="2" t="s">
        <v>141</v>
      </c>
      <c r="E57" s="2">
        <v>48</v>
      </c>
      <c r="F57" s="2">
        <v>8</v>
      </c>
      <c r="G57" s="2" t="s">
        <v>308</v>
      </c>
      <c r="H57" s="2">
        <v>2</v>
      </c>
      <c r="I57" s="2">
        <v>2</v>
      </c>
      <c r="J57" s="4">
        <v>2</v>
      </c>
    </row>
    <row r="58" spans="1:10" x14ac:dyDescent="0.25">
      <c r="A58" s="3" t="s">
        <v>150</v>
      </c>
      <c r="B58" s="2" t="s">
        <v>151</v>
      </c>
      <c r="C58" s="2">
        <v>222</v>
      </c>
      <c r="D58" s="2" t="s">
        <v>141</v>
      </c>
      <c r="E58" s="2">
        <v>44</v>
      </c>
      <c r="F58" s="2">
        <v>6</v>
      </c>
      <c r="G58" s="2" t="s">
        <v>309</v>
      </c>
      <c r="H58" s="2">
        <v>2</v>
      </c>
      <c r="I58" s="2">
        <v>2</v>
      </c>
      <c r="J58" s="4">
        <v>2</v>
      </c>
    </row>
    <row r="59" spans="1:10" x14ac:dyDescent="0.25">
      <c r="A59" s="3" t="s">
        <v>178</v>
      </c>
      <c r="B59" s="2" t="s">
        <v>179</v>
      </c>
      <c r="C59" s="2">
        <v>222</v>
      </c>
      <c r="D59" s="2" t="s">
        <v>141</v>
      </c>
      <c r="E59" s="2">
        <v>27</v>
      </c>
      <c r="F59" s="2">
        <v>6</v>
      </c>
      <c r="G59" s="2" t="s">
        <v>323</v>
      </c>
      <c r="H59" s="2">
        <v>2</v>
      </c>
      <c r="I59" s="2">
        <v>2</v>
      </c>
      <c r="J59" s="4">
        <v>2</v>
      </c>
    </row>
    <row r="60" spans="1:10" x14ac:dyDescent="0.25">
      <c r="A60" s="3" t="s">
        <v>182</v>
      </c>
      <c r="B60" s="2" t="s">
        <v>183</v>
      </c>
      <c r="C60" s="2">
        <v>222</v>
      </c>
      <c r="D60" s="2" t="s">
        <v>141</v>
      </c>
      <c r="E60" s="2">
        <v>26</v>
      </c>
      <c r="F60" s="2">
        <v>6</v>
      </c>
      <c r="G60" s="2" t="s">
        <v>325</v>
      </c>
      <c r="H60" s="2">
        <v>2</v>
      </c>
      <c r="I60" s="2">
        <v>2</v>
      </c>
      <c r="J60" s="4">
        <v>2</v>
      </c>
    </row>
    <row r="61" spans="1:10" x14ac:dyDescent="0.25">
      <c r="A61" s="3" t="s">
        <v>172</v>
      </c>
      <c r="B61" s="2" t="s">
        <v>173</v>
      </c>
      <c r="C61" s="2">
        <v>221</v>
      </c>
      <c r="D61" s="2" t="s">
        <v>141</v>
      </c>
      <c r="E61" s="2">
        <v>29</v>
      </c>
      <c r="F61" s="2">
        <v>7</v>
      </c>
      <c r="G61" s="2" t="s">
        <v>320</v>
      </c>
      <c r="H61" s="2">
        <v>2</v>
      </c>
      <c r="I61" s="2">
        <v>2</v>
      </c>
      <c r="J61" s="4">
        <v>1</v>
      </c>
    </row>
    <row r="62" spans="1:10" x14ac:dyDescent="0.25">
      <c r="A62" s="3" t="s">
        <v>152</v>
      </c>
      <c r="B62" s="2" t="s">
        <v>153</v>
      </c>
      <c r="C62" s="2">
        <v>212</v>
      </c>
      <c r="D62" s="2" t="s">
        <v>92</v>
      </c>
      <c r="E62" s="2">
        <v>43</v>
      </c>
      <c r="F62" s="2">
        <v>3</v>
      </c>
      <c r="G62" s="2" t="s">
        <v>310</v>
      </c>
      <c r="H62" s="2">
        <v>2</v>
      </c>
      <c r="I62" s="2">
        <v>1</v>
      </c>
      <c r="J62" s="4">
        <v>2</v>
      </c>
    </row>
    <row r="63" spans="1:10" x14ac:dyDescent="0.25">
      <c r="A63" s="3" t="s">
        <v>160</v>
      </c>
      <c r="B63" s="2" t="s">
        <v>161</v>
      </c>
      <c r="C63" s="2">
        <v>212</v>
      </c>
      <c r="D63" s="2" t="s">
        <v>92</v>
      </c>
      <c r="E63" s="2">
        <v>37</v>
      </c>
      <c r="F63" s="2">
        <v>5</v>
      </c>
      <c r="G63" s="2" t="s">
        <v>314</v>
      </c>
      <c r="H63" s="2">
        <v>2</v>
      </c>
      <c r="I63" s="2">
        <v>1</v>
      </c>
      <c r="J63" s="4">
        <v>2</v>
      </c>
    </row>
    <row r="64" spans="1:10" x14ac:dyDescent="0.25">
      <c r="A64" s="3" t="s">
        <v>164</v>
      </c>
      <c r="B64" s="2" t="s">
        <v>165</v>
      </c>
      <c r="C64" s="2">
        <v>212</v>
      </c>
      <c r="D64" s="2" t="s">
        <v>92</v>
      </c>
      <c r="E64" s="2">
        <v>35</v>
      </c>
      <c r="F64" s="2">
        <v>4</v>
      </c>
      <c r="G64" s="2" t="s">
        <v>316</v>
      </c>
      <c r="H64" s="2">
        <v>2</v>
      </c>
      <c r="I64" s="2">
        <v>1</v>
      </c>
      <c r="J64" s="4">
        <v>2</v>
      </c>
    </row>
    <row r="65" spans="1:10" x14ac:dyDescent="0.25">
      <c r="A65" s="3" t="s">
        <v>174</v>
      </c>
      <c r="B65" s="2" t="s">
        <v>175</v>
      </c>
      <c r="C65" s="2">
        <v>212</v>
      </c>
      <c r="D65" s="2" t="s">
        <v>92</v>
      </c>
      <c r="E65" s="2">
        <v>28</v>
      </c>
      <c r="F65" s="2">
        <v>5</v>
      </c>
      <c r="G65" s="2" t="s">
        <v>321</v>
      </c>
      <c r="H65" s="2">
        <v>2</v>
      </c>
      <c r="I65" s="2">
        <v>1</v>
      </c>
      <c r="J65" s="4">
        <v>2</v>
      </c>
    </row>
    <row r="66" spans="1:10" x14ac:dyDescent="0.25">
      <c r="A66" s="3" t="s">
        <v>154</v>
      </c>
      <c r="B66" s="2" t="s">
        <v>155</v>
      </c>
      <c r="C66" s="2">
        <v>211</v>
      </c>
      <c r="D66" s="2" t="s">
        <v>92</v>
      </c>
      <c r="E66" s="2">
        <v>43</v>
      </c>
      <c r="F66" s="2">
        <v>4</v>
      </c>
      <c r="G66" s="2" t="s">
        <v>311</v>
      </c>
      <c r="H66" s="2">
        <v>2</v>
      </c>
      <c r="I66" s="2">
        <v>1</v>
      </c>
      <c r="J66" s="4">
        <v>1</v>
      </c>
    </row>
    <row r="67" spans="1:10" x14ac:dyDescent="0.25">
      <c r="A67" s="3" t="s">
        <v>156</v>
      </c>
      <c r="B67" s="2" t="s">
        <v>157</v>
      </c>
      <c r="C67" s="2">
        <v>211</v>
      </c>
      <c r="D67" s="2" t="s">
        <v>92</v>
      </c>
      <c r="E67" s="2">
        <v>43</v>
      </c>
      <c r="F67" s="2">
        <v>3</v>
      </c>
      <c r="G67" s="2" t="s">
        <v>312</v>
      </c>
      <c r="H67" s="2">
        <v>2</v>
      </c>
      <c r="I67" s="2">
        <v>1</v>
      </c>
      <c r="J67" s="4">
        <v>1</v>
      </c>
    </row>
    <row r="68" spans="1:10" x14ac:dyDescent="0.25">
      <c r="A68" s="3" t="s">
        <v>168</v>
      </c>
      <c r="B68" s="2" t="s">
        <v>169</v>
      </c>
      <c r="C68" s="2">
        <v>211</v>
      </c>
      <c r="D68" s="2" t="s">
        <v>92</v>
      </c>
      <c r="E68" s="2">
        <v>30</v>
      </c>
      <c r="F68" s="2">
        <v>3</v>
      </c>
      <c r="G68" s="2" t="s">
        <v>318</v>
      </c>
      <c r="H68" s="2">
        <v>2</v>
      </c>
      <c r="I68" s="2">
        <v>1</v>
      </c>
      <c r="J68" s="4">
        <v>1</v>
      </c>
    </row>
    <row r="69" spans="1:10" x14ac:dyDescent="0.25">
      <c r="A69" s="3" t="s">
        <v>180</v>
      </c>
      <c r="B69" s="2" t="s">
        <v>181</v>
      </c>
      <c r="C69" s="2">
        <v>211</v>
      </c>
      <c r="D69" s="2" t="s">
        <v>92</v>
      </c>
      <c r="E69" s="2">
        <v>27</v>
      </c>
      <c r="F69" s="2">
        <v>5</v>
      </c>
      <c r="G69" s="2" t="s">
        <v>324</v>
      </c>
      <c r="H69" s="2">
        <v>2</v>
      </c>
      <c r="I69" s="2">
        <v>1</v>
      </c>
      <c r="J69" s="4">
        <v>1</v>
      </c>
    </row>
    <row r="70" spans="1:10" x14ac:dyDescent="0.25">
      <c r="A70" s="3" t="s">
        <v>111</v>
      </c>
      <c r="B70" s="2" t="s">
        <v>112</v>
      </c>
      <c r="C70" s="2">
        <v>123</v>
      </c>
      <c r="D70" s="2" t="s">
        <v>92</v>
      </c>
      <c r="E70" s="2">
        <v>135</v>
      </c>
      <c r="F70" s="2">
        <v>5</v>
      </c>
      <c r="G70" s="2" t="s">
        <v>290</v>
      </c>
      <c r="H70" s="2">
        <v>1</v>
      </c>
      <c r="I70" s="2">
        <v>2</v>
      </c>
      <c r="J70" s="4">
        <v>3</v>
      </c>
    </row>
    <row r="71" spans="1:10" x14ac:dyDescent="0.25">
      <c r="A71" s="3" t="s">
        <v>105</v>
      </c>
      <c r="B71" s="2" t="s">
        <v>106</v>
      </c>
      <c r="C71" s="2">
        <v>122</v>
      </c>
      <c r="D71" s="2" t="s">
        <v>92</v>
      </c>
      <c r="E71" s="2">
        <v>187</v>
      </c>
      <c r="F71" s="2">
        <v>7</v>
      </c>
      <c r="G71" s="2" t="s">
        <v>287</v>
      </c>
      <c r="H71" s="2">
        <v>1</v>
      </c>
      <c r="I71" s="2">
        <v>2</v>
      </c>
      <c r="J71" s="4">
        <v>2</v>
      </c>
    </row>
    <row r="72" spans="1:10" x14ac:dyDescent="0.25">
      <c r="A72" s="3" t="s">
        <v>119</v>
      </c>
      <c r="B72" s="2" t="s">
        <v>120</v>
      </c>
      <c r="C72" s="2">
        <v>122</v>
      </c>
      <c r="D72" s="2" t="s">
        <v>92</v>
      </c>
      <c r="E72" s="2">
        <v>107</v>
      </c>
      <c r="F72" s="2">
        <v>6</v>
      </c>
      <c r="G72" s="2" t="s">
        <v>294</v>
      </c>
      <c r="H72" s="2">
        <v>1</v>
      </c>
      <c r="I72" s="2">
        <v>2</v>
      </c>
      <c r="J72" s="4">
        <v>2</v>
      </c>
    </row>
    <row r="73" spans="1:10" x14ac:dyDescent="0.25">
      <c r="A73" s="3" t="s">
        <v>125</v>
      </c>
      <c r="B73" s="2" t="s">
        <v>126</v>
      </c>
      <c r="C73" s="2">
        <v>122</v>
      </c>
      <c r="D73" s="2" t="s">
        <v>92</v>
      </c>
      <c r="E73" s="2">
        <v>98</v>
      </c>
      <c r="F73" s="2">
        <v>7</v>
      </c>
      <c r="G73" s="2" t="s">
        <v>297</v>
      </c>
      <c r="H73" s="2">
        <v>1</v>
      </c>
      <c r="I73" s="2">
        <v>2</v>
      </c>
      <c r="J73" s="4">
        <v>2</v>
      </c>
    </row>
    <row r="74" spans="1:10" x14ac:dyDescent="0.25">
      <c r="A74" s="3" t="s">
        <v>100</v>
      </c>
      <c r="B74" s="2" t="s">
        <v>101</v>
      </c>
      <c r="C74" s="2">
        <v>121</v>
      </c>
      <c r="D74" s="2" t="s">
        <v>92</v>
      </c>
      <c r="E74" s="2">
        <v>240</v>
      </c>
      <c r="F74" s="2">
        <v>5</v>
      </c>
      <c r="G74" s="2" t="s">
        <v>285</v>
      </c>
      <c r="H74" s="2">
        <v>1</v>
      </c>
      <c r="I74" s="2">
        <v>2</v>
      </c>
      <c r="J74" s="4">
        <v>1</v>
      </c>
    </row>
    <row r="75" spans="1:10" x14ac:dyDescent="0.25">
      <c r="A75" s="3" t="s">
        <v>90</v>
      </c>
      <c r="B75" s="2" t="s">
        <v>91</v>
      </c>
      <c r="C75" s="2">
        <v>114</v>
      </c>
      <c r="D75" s="2" t="s">
        <v>92</v>
      </c>
      <c r="E75" s="2"/>
      <c r="F75" s="2">
        <v>0</v>
      </c>
      <c r="G75" s="2"/>
      <c r="H75" s="2">
        <v>1</v>
      </c>
      <c r="I75" s="2">
        <v>1</v>
      </c>
      <c r="J75" s="4">
        <v>4</v>
      </c>
    </row>
    <row r="76" spans="1:10" x14ac:dyDescent="0.25">
      <c r="A76" s="3" t="s">
        <v>93</v>
      </c>
      <c r="B76" s="2" t="s">
        <v>94</v>
      </c>
      <c r="C76" s="2">
        <v>114</v>
      </c>
      <c r="D76" s="2" t="s">
        <v>92</v>
      </c>
      <c r="E76" s="2"/>
      <c r="F76" s="2">
        <v>0</v>
      </c>
      <c r="G76" s="2"/>
      <c r="H76" s="2">
        <v>1</v>
      </c>
      <c r="I76" s="2">
        <v>1</v>
      </c>
      <c r="J76" s="4">
        <v>4</v>
      </c>
    </row>
    <row r="77" spans="1:10" x14ac:dyDescent="0.25">
      <c r="A77" s="3" t="s">
        <v>95</v>
      </c>
      <c r="B77" s="2" t="s">
        <v>96</v>
      </c>
      <c r="C77" s="2">
        <v>111</v>
      </c>
      <c r="D77" s="2" t="s">
        <v>97</v>
      </c>
      <c r="E77" s="2">
        <v>657</v>
      </c>
      <c r="F77" s="2">
        <v>1</v>
      </c>
      <c r="G77" s="2" t="s">
        <v>283</v>
      </c>
      <c r="H77" s="2">
        <v>1</v>
      </c>
      <c r="I77" s="2">
        <v>1</v>
      </c>
      <c r="J77" s="4">
        <v>1</v>
      </c>
    </row>
    <row r="78" spans="1:10" x14ac:dyDescent="0.25">
      <c r="A78" s="3" t="s">
        <v>98</v>
      </c>
      <c r="B78" s="2" t="s">
        <v>99</v>
      </c>
      <c r="C78" s="2">
        <v>111</v>
      </c>
      <c r="D78" s="2" t="s">
        <v>97</v>
      </c>
      <c r="E78" s="2">
        <v>349</v>
      </c>
      <c r="F78" s="2">
        <v>2</v>
      </c>
      <c r="G78" s="2" t="s">
        <v>284</v>
      </c>
      <c r="H78" s="2">
        <v>1</v>
      </c>
      <c r="I78" s="2">
        <v>1</v>
      </c>
      <c r="J78" s="4">
        <v>1</v>
      </c>
    </row>
    <row r="79" spans="1:10" x14ac:dyDescent="0.25">
      <c r="A79" s="3" t="s">
        <v>107</v>
      </c>
      <c r="B79" s="2" t="s">
        <v>108</v>
      </c>
      <c r="C79" s="2">
        <v>111</v>
      </c>
      <c r="D79" s="2" t="s">
        <v>97</v>
      </c>
      <c r="E79" s="2">
        <v>175</v>
      </c>
      <c r="F79" s="2">
        <v>5</v>
      </c>
      <c r="G79" s="2" t="s">
        <v>288</v>
      </c>
      <c r="H79" s="2">
        <v>1</v>
      </c>
      <c r="I79" s="2">
        <v>1</v>
      </c>
      <c r="J79" s="4">
        <v>1</v>
      </c>
    </row>
    <row r="80" spans="1:10" x14ac:dyDescent="0.25">
      <c r="A80" s="3" t="s">
        <v>109</v>
      </c>
      <c r="B80" s="2" t="s">
        <v>110</v>
      </c>
      <c r="C80" s="2">
        <v>111</v>
      </c>
      <c r="D80" s="2" t="s">
        <v>97</v>
      </c>
      <c r="E80" s="2">
        <v>139</v>
      </c>
      <c r="F80" s="2">
        <v>2</v>
      </c>
      <c r="G80" s="2" t="s">
        <v>289</v>
      </c>
      <c r="H80" s="2">
        <v>1</v>
      </c>
      <c r="I80" s="2">
        <v>1</v>
      </c>
      <c r="J80" s="4">
        <v>1</v>
      </c>
    </row>
    <row r="81" spans="1:10" x14ac:dyDescent="0.25">
      <c r="A81" s="3" t="s">
        <v>113</v>
      </c>
      <c r="B81" s="2" t="s">
        <v>114</v>
      </c>
      <c r="C81" s="2">
        <v>111</v>
      </c>
      <c r="D81" s="2" t="s">
        <v>97</v>
      </c>
      <c r="E81" s="2">
        <v>125</v>
      </c>
      <c r="F81" s="2">
        <v>3</v>
      </c>
      <c r="G81" s="2" t="s">
        <v>291</v>
      </c>
      <c r="H81" s="2">
        <v>1</v>
      </c>
      <c r="I81" s="2">
        <v>1</v>
      </c>
      <c r="J81" s="4">
        <v>1</v>
      </c>
    </row>
    <row r="82" spans="1:10" x14ac:dyDescent="0.25">
      <c r="A82" s="3" t="s">
        <v>115</v>
      </c>
      <c r="B82" s="2" t="s">
        <v>116</v>
      </c>
      <c r="C82" s="2">
        <v>111</v>
      </c>
      <c r="D82" s="2" t="s">
        <v>97</v>
      </c>
      <c r="E82" s="2">
        <v>118</v>
      </c>
      <c r="F82" s="2">
        <v>3</v>
      </c>
      <c r="G82" s="2" t="s">
        <v>292</v>
      </c>
      <c r="H82" s="2">
        <v>1</v>
      </c>
      <c r="I82" s="2">
        <v>1</v>
      </c>
      <c r="J82" s="4">
        <v>1</v>
      </c>
    </row>
    <row r="83" spans="1:10" x14ac:dyDescent="0.25">
      <c r="A83" s="3" t="s">
        <v>123</v>
      </c>
      <c r="B83" s="2" t="s">
        <v>124</v>
      </c>
      <c r="C83" s="2">
        <v>111</v>
      </c>
      <c r="D83" s="2" t="s">
        <v>97</v>
      </c>
      <c r="E83" s="2">
        <v>103</v>
      </c>
      <c r="F83" s="2">
        <v>3</v>
      </c>
      <c r="G83" s="2" t="s">
        <v>296</v>
      </c>
      <c r="H83" s="2">
        <v>1</v>
      </c>
      <c r="I83" s="2">
        <v>1</v>
      </c>
      <c r="J83" s="4">
        <v>1</v>
      </c>
    </row>
    <row r="84" spans="1:10" x14ac:dyDescent="0.25">
      <c r="A84" s="3" t="s">
        <v>129</v>
      </c>
      <c r="B84" s="2" t="s">
        <v>130</v>
      </c>
      <c r="C84" s="2">
        <v>111</v>
      </c>
      <c r="D84" s="2" t="s">
        <v>97</v>
      </c>
      <c r="E84" s="2">
        <v>83</v>
      </c>
      <c r="F84" s="2">
        <v>4</v>
      </c>
      <c r="G84" s="2" t="s">
        <v>299</v>
      </c>
      <c r="H84" s="2">
        <v>1</v>
      </c>
      <c r="I84" s="2">
        <v>1</v>
      </c>
      <c r="J84" s="4">
        <v>1</v>
      </c>
    </row>
    <row r="85" spans="1:10" x14ac:dyDescent="0.25">
      <c r="A85" s="3" t="s">
        <v>131</v>
      </c>
      <c r="B85" s="2" t="s">
        <v>132</v>
      </c>
      <c r="C85" s="2">
        <v>111</v>
      </c>
      <c r="D85" s="2" t="s">
        <v>97</v>
      </c>
      <c r="E85" s="2">
        <v>79</v>
      </c>
      <c r="F85" s="2">
        <v>4</v>
      </c>
      <c r="G85" s="2" t="s">
        <v>300</v>
      </c>
      <c r="H85" s="2">
        <v>1</v>
      </c>
      <c r="I85" s="2">
        <v>1</v>
      </c>
      <c r="J85" s="4">
        <v>1</v>
      </c>
    </row>
    <row r="86" spans="1:10" x14ac:dyDescent="0.25">
      <c r="A86" s="3" t="s">
        <v>135</v>
      </c>
      <c r="B86" s="2" t="s">
        <v>136</v>
      </c>
      <c r="C86" s="2">
        <v>111</v>
      </c>
      <c r="D86" s="2" t="s">
        <v>97</v>
      </c>
      <c r="E86" s="2">
        <v>63</v>
      </c>
      <c r="F86" s="2">
        <v>4</v>
      </c>
      <c r="G86" s="2" t="s">
        <v>302</v>
      </c>
      <c r="H86" s="2">
        <v>1</v>
      </c>
      <c r="I86" s="2">
        <v>1</v>
      </c>
      <c r="J86" s="4">
        <v>1</v>
      </c>
    </row>
    <row r="87" spans="1:10" x14ac:dyDescent="0.25">
      <c r="A87" s="3" t="s">
        <v>137</v>
      </c>
      <c r="B87" s="2" t="s">
        <v>138</v>
      </c>
      <c r="C87" s="2">
        <v>111</v>
      </c>
      <c r="D87" s="2" t="s">
        <v>97</v>
      </c>
      <c r="E87" s="2">
        <v>62</v>
      </c>
      <c r="F87" s="2">
        <v>5</v>
      </c>
      <c r="G87" s="2" t="s">
        <v>303</v>
      </c>
      <c r="H87" s="2">
        <v>1</v>
      </c>
      <c r="I87" s="2">
        <v>1</v>
      </c>
      <c r="J87" s="4">
        <v>1</v>
      </c>
    </row>
    <row r="88" spans="1:10" x14ac:dyDescent="0.25">
      <c r="A88" s="3" t="s">
        <v>102</v>
      </c>
      <c r="B88" s="2" t="s">
        <v>103</v>
      </c>
      <c r="C88" s="2">
        <v>144</v>
      </c>
      <c r="D88" s="2" t="s">
        <v>104</v>
      </c>
      <c r="E88" s="2">
        <v>188</v>
      </c>
      <c r="F88" s="2">
        <v>13</v>
      </c>
      <c r="G88" s="2" t="s">
        <v>286</v>
      </c>
      <c r="H88" s="2">
        <v>1</v>
      </c>
      <c r="I88" s="2">
        <v>4</v>
      </c>
      <c r="J88" s="4">
        <v>4</v>
      </c>
    </row>
    <row r="89" spans="1:10" x14ac:dyDescent="0.25">
      <c r="A89" s="3" t="s">
        <v>133</v>
      </c>
      <c r="B89" s="2" t="s">
        <v>134</v>
      </c>
      <c r="C89" s="2">
        <v>144</v>
      </c>
      <c r="D89" s="2" t="s">
        <v>104</v>
      </c>
      <c r="E89" s="2">
        <v>63</v>
      </c>
      <c r="F89" s="2">
        <v>18</v>
      </c>
      <c r="G89" s="2" t="s">
        <v>301</v>
      </c>
      <c r="H89" s="2">
        <v>1</v>
      </c>
      <c r="I89" s="2">
        <v>4</v>
      </c>
      <c r="J89" s="4">
        <v>4</v>
      </c>
    </row>
    <row r="90" spans="1:10" x14ac:dyDescent="0.25">
      <c r="A90" s="3" t="s">
        <v>117</v>
      </c>
      <c r="B90" s="2" t="s">
        <v>118</v>
      </c>
      <c r="C90" s="2">
        <v>133</v>
      </c>
      <c r="D90" s="2" t="s">
        <v>104</v>
      </c>
      <c r="E90" s="2">
        <v>114</v>
      </c>
      <c r="F90" s="2">
        <v>11</v>
      </c>
      <c r="G90" s="2" t="s">
        <v>293</v>
      </c>
      <c r="H90" s="2">
        <v>1</v>
      </c>
      <c r="I90" s="2">
        <v>3</v>
      </c>
      <c r="J90" s="4">
        <v>3</v>
      </c>
    </row>
    <row r="91" spans="1:10" x14ac:dyDescent="0.25">
      <c r="A91" s="3" t="s">
        <v>121</v>
      </c>
      <c r="B91" s="2" t="s">
        <v>122</v>
      </c>
      <c r="C91" s="2">
        <v>133</v>
      </c>
      <c r="D91" s="2" t="s">
        <v>104</v>
      </c>
      <c r="E91" s="2">
        <v>103</v>
      </c>
      <c r="F91" s="2">
        <v>10</v>
      </c>
      <c r="G91" s="2" t="s">
        <v>295</v>
      </c>
      <c r="H91" s="2">
        <v>1</v>
      </c>
      <c r="I91" s="2">
        <v>3</v>
      </c>
      <c r="J91" s="4">
        <v>3</v>
      </c>
    </row>
    <row r="92" spans="1:10" x14ac:dyDescent="0.25">
      <c r="A92" s="5" t="s">
        <v>127</v>
      </c>
      <c r="B92" s="6" t="s">
        <v>128</v>
      </c>
      <c r="C92" s="6">
        <v>133</v>
      </c>
      <c r="D92" s="6" t="s">
        <v>104</v>
      </c>
      <c r="E92" s="6">
        <v>91</v>
      </c>
      <c r="F92" s="6">
        <v>9</v>
      </c>
      <c r="G92" s="6" t="s">
        <v>298</v>
      </c>
      <c r="H92" s="6">
        <v>1</v>
      </c>
      <c r="I92" s="6">
        <v>3</v>
      </c>
      <c r="J92" s="7">
        <v>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5189-986E-4109-843B-E99CE9513DB3}">
  <dimension ref="A1:L184"/>
  <sheetViews>
    <sheetView zoomScaleNormal="100" workbookViewId="0">
      <selection activeCell="I14" sqref="I14"/>
    </sheetView>
  </sheetViews>
  <sheetFormatPr defaultRowHeight="15" x14ac:dyDescent="0.25"/>
  <cols>
    <col min="1" max="1" width="10.140625" bestFit="1" customWidth="1"/>
    <col min="2" max="2" width="17" customWidth="1"/>
    <col min="3" max="3" width="13.28515625" customWidth="1"/>
    <col min="4" max="4" width="17.42578125" customWidth="1"/>
    <col min="5" max="5" width="21.42578125" customWidth="1"/>
    <col min="6" max="6" width="8.5703125" bestFit="1" customWidth="1"/>
    <col min="8" max="8" width="18.42578125" bestFit="1" customWidth="1"/>
    <col min="9" max="9" width="20.85546875" bestFit="1" customWidth="1"/>
    <col min="10" max="11" width="10.140625" bestFit="1" customWidth="1"/>
    <col min="12" max="12" width="11.85546875" bestFit="1" customWidth="1"/>
    <col min="13" max="25" width="10.140625" bestFit="1" customWidth="1"/>
    <col min="26" max="26" width="11.85546875" bestFit="1" customWidth="1"/>
    <col min="27" max="31" width="9" bestFit="1" customWidth="1"/>
    <col min="32" max="32" width="11.85546875" bestFit="1" customWidth="1"/>
  </cols>
  <sheetData>
    <row r="1" spans="1:12" x14ac:dyDescent="0.25">
      <c r="A1" s="41" t="s">
        <v>379</v>
      </c>
      <c r="B1" s="42" t="s">
        <v>380</v>
      </c>
      <c r="C1" s="42" t="s">
        <v>381</v>
      </c>
      <c r="D1" s="42" t="s">
        <v>382</v>
      </c>
      <c r="E1" s="42" t="s">
        <v>383</v>
      </c>
      <c r="F1" s="43" t="s">
        <v>384</v>
      </c>
    </row>
    <row r="2" spans="1:12" x14ac:dyDescent="0.25">
      <c r="A2" s="8">
        <v>35247</v>
      </c>
      <c r="B2" s="2">
        <v>0</v>
      </c>
      <c r="C2" s="2">
        <v>20</v>
      </c>
      <c r="D2" s="2">
        <v>27861.89</v>
      </c>
      <c r="E2" s="2">
        <v>27861.89</v>
      </c>
      <c r="F2" s="4">
        <v>1393.09</v>
      </c>
    </row>
    <row r="3" spans="1:12" x14ac:dyDescent="0.25">
      <c r="A3" s="8">
        <v>35247</v>
      </c>
      <c r="B3" s="2">
        <v>1</v>
      </c>
      <c r="C3" s="2">
        <v>20</v>
      </c>
      <c r="D3" s="2">
        <v>5755.72</v>
      </c>
      <c r="E3" s="2">
        <v>33617.61</v>
      </c>
      <c r="F3" s="4">
        <v>1680.88</v>
      </c>
      <c r="H3" s="20" t="s">
        <v>471</v>
      </c>
      <c r="I3" s="20" t="s">
        <v>470</v>
      </c>
      <c r="J3" s="2"/>
      <c r="K3" s="2"/>
      <c r="L3" s="2"/>
    </row>
    <row r="4" spans="1:12" x14ac:dyDescent="0.25">
      <c r="A4" s="8">
        <v>35247</v>
      </c>
      <c r="B4" s="2">
        <v>2</v>
      </c>
      <c r="C4" s="2">
        <v>20</v>
      </c>
      <c r="D4" s="2">
        <v>9179.7000000000007</v>
      </c>
      <c r="E4" s="2">
        <v>42797.31</v>
      </c>
      <c r="F4" s="4">
        <v>2139.87</v>
      </c>
      <c r="H4" s="20" t="s">
        <v>463</v>
      </c>
      <c r="I4" s="48">
        <v>35247</v>
      </c>
      <c r="J4" s="48">
        <v>35339</v>
      </c>
      <c r="K4" s="48">
        <v>35431</v>
      </c>
      <c r="L4" s="48" t="s">
        <v>464</v>
      </c>
    </row>
    <row r="5" spans="1:12" x14ac:dyDescent="0.25">
      <c r="A5" s="8">
        <v>35247</v>
      </c>
      <c r="B5" s="2">
        <v>3</v>
      </c>
      <c r="C5" s="2">
        <v>20</v>
      </c>
      <c r="D5" s="2">
        <v>7655.64</v>
      </c>
      <c r="E5" s="2">
        <v>50452.95</v>
      </c>
      <c r="F5" s="4">
        <v>2522.65</v>
      </c>
      <c r="H5" s="21">
        <v>0</v>
      </c>
      <c r="I5" s="12">
        <v>1393.09</v>
      </c>
      <c r="J5" s="12">
        <v>1944.71</v>
      </c>
      <c r="K5" s="12">
        <v>682.28</v>
      </c>
      <c r="L5" s="12">
        <v>4020.08</v>
      </c>
    </row>
    <row r="6" spans="1:12" x14ac:dyDescent="0.25">
      <c r="A6" s="8">
        <v>35247</v>
      </c>
      <c r="B6" s="2">
        <v>4</v>
      </c>
      <c r="C6" s="2">
        <v>20</v>
      </c>
      <c r="D6" s="2">
        <v>18393.580000000002</v>
      </c>
      <c r="E6" s="2">
        <v>68846.53</v>
      </c>
      <c r="F6" s="4">
        <v>3442.33</v>
      </c>
      <c r="H6" s="21">
        <v>1</v>
      </c>
      <c r="I6" s="12">
        <v>1680.88</v>
      </c>
      <c r="J6" s="12">
        <v>2195.23</v>
      </c>
      <c r="K6" s="12"/>
      <c r="L6" s="12">
        <v>3876.11</v>
      </c>
    </row>
    <row r="7" spans="1:12" x14ac:dyDescent="0.25">
      <c r="A7" s="8">
        <v>35247</v>
      </c>
      <c r="B7" s="2">
        <v>5</v>
      </c>
      <c r="C7" s="2">
        <v>20</v>
      </c>
      <c r="D7" s="2">
        <v>11101.68</v>
      </c>
      <c r="E7" s="2">
        <v>79948.210000000006</v>
      </c>
      <c r="F7" s="4">
        <v>3997.41</v>
      </c>
      <c r="H7" s="21">
        <v>2</v>
      </c>
      <c r="I7" s="12">
        <v>2139.87</v>
      </c>
      <c r="J7" s="12">
        <v>2881.71</v>
      </c>
      <c r="K7" s="12">
        <v>1150.28</v>
      </c>
      <c r="L7" s="12">
        <v>6171.86</v>
      </c>
    </row>
    <row r="8" spans="1:12" x14ac:dyDescent="0.25">
      <c r="A8" s="8">
        <v>35247</v>
      </c>
      <c r="B8" s="2">
        <v>6</v>
      </c>
      <c r="C8" s="2">
        <v>20</v>
      </c>
      <c r="D8" s="2">
        <v>19584.82</v>
      </c>
      <c r="E8" s="2">
        <v>99533.03</v>
      </c>
      <c r="F8" s="4">
        <v>4976.6499999999996</v>
      </c>
      <c r="H8" s="21">
        <v>3</v>
      </c>
      <c r="I8" s="12">
        <v>2522.65</v>
      </c>
      <c r="J8" s="12">
        <v>5146.4799999999996</v>
      </c>
      <c r="K8" s="12"/>
      <c r="L8" s="12">
        <v>7669.1299999999992</v>
      </c>
    </row>
    <row r="9" spans="1:12" x14ac:dyDescent="0.25">
      <c r="A9" s="8">
        <v>35247</v>
      </c>
      <c r="B9" s="2">
        <v>7</v>
      </c>
      <c r="C9" s="2">
        <v>20</v>
      </c>
      <c r="D9" s="2">
        <v>15874.5</v>
      </c>
      <c r="E9" s="2">
        <v>115407.53</v>
      </c>
      <c r="F9" s="4">
        <v>5770.38</v>
      </c>
      <c r="H9" s="21">
        <v>4</v>
      </c>
      <c r="I9" s="12">
        <v>3442.33</v>
      </c>
      <c r="J9" s="12">
        <v>6370.19</v>
      </c>
      <c r="K9" s="12">
        <v>1172.28</v>
      </c>
      <c r="L9" s="12">
        <v>10984.800000000001</v>
      </c>
    </row>
    <row r="10" spans="1:12" x14ac:dyDescent="0.25">
      <c r="A10" s="8">
        <v>35247</v>
      </c>
      <c r="B10" s="2">
        <v>8</v>
      </c>
      <c r="C10" s="2">
        <v>20</v>
      </c>
      <c r="D10" s="2">
        <v>20938.43</v>
      </c>
      <c r="E10" s="2">
        <v>136345.96</v>
      </c>
      <c r="F10" s="4">
        <v>6817.3</v>
      </c>
      <c r="H10" s="21">
        <v>5</v>
      </c>
      <c r="I10" s="12">
        <v>3997.41</v>
      </c>
      <c r="J10" s="12">
        <v>7060.67</v>
      </c>
      <c r="K10" s="12"/>
      <c r="L10" s="12">
        <v>11058.08</v>
      </c>
    </row>
    <row r="11" spans="1:12" x14ac:dyDescent="0.25">
      <c r="A11" s="8">
        <v>35247</v>
      </c>
      <c r="B11" s="2">
        <v>9</v>
      </c>
      <c r="C11" s="2">
        <v>20</v>
      </c>
      <c r="D11" s="2">
        <v>13141.15</v>
      </c>
      <c r="E11" s="2">
        <v>149487.10999999999</v>
      </c>
      <c r="F11" s="4">
        <v>7474.36</v>
      </c>
      <c r="H11" s="21">
        <v>6</v>
      </c>
      <c r="I11" s="12">
        <v>4976.6499999999996</v>
      </c>
      <c r="J11" s="12">
        <v>8020.4</v>
      </c>
      <c r="K11" s="12"/>
      <c r="L11" s="12">
        <v>12997.05</v>
      </c>
    </row>
    <row r="12" spans="1:12" x14ac:dyDescent="0.25">
      <c r="A12" s="8">
        <v>35247</v>
      </c>
      <c r="B12" s="2">
        <v>10</v>
      </c>
      <c r="C12" s="2">
        <v>20</v>
      </c>
      <c r="D12" s="2">
        <v>14351.35</v>
      </c>
      <c r="E12" s="2">
        <v>163838.46</v>
      </c>
      <c r="F12" s="4">
        <v>8191.92</v>
      </c>
      <c r="H12" s="21">
        <v>7</v>
      </c>
      <c r="I12" s="12">
        <v>5770.38</v>
      </c>
      <c r="J12" s="12">
        <v>8349.82</v>
      </c>
      <c r="K12" s="12">
        <v>2713.39</v>
      </c>
      <c r="L12" s="12">
        <v>16833.59</v>
      </c>
    </row>
    <row r="13" spans="1:12" x14ac:dyDescent="0.25">
      <c r="A13" s="8">
        <v>35247</v>
      </c>
      <c r="B13" s="2">
        <v>11</v>
      </c>
      <c r="C13" s="2">
        <v>20</v>
      </c>
      <c r="D13" s="2">
        <v>12717.96</v>
      </c>
      <c r="E13" s="2">
        <v>176556.42</v>
      </c>
      <c r="F13" s="4">
        <v>8827.82</v>
      </c>
      <c r="H13" s="21">
        <v>8</v>
      </c>
      <c r="I13" s="12">
        <v>6817.3</v>
      </c>
      <c r="J13" s="12">
        <v>9114.7900000000009</v>
      </c>
      <c r="K13" s="12">
        <v>2937.38</v>
      </c>
      <c r="L13" s="12">
        <v>18869.47</v>
      </c>
    </row>
    <row r="14" spans="1:12" x14ac:dyDescent="0.25">
      <c r="A14" s="8">
        <v>35247</v>
      </c>
      <c r="B14" s="2">
        <v>12</v>
      </c>
      <c r="C14" s="2">
        <v>20</v>
      </c>
      <c r="D14" s="2">
        <v>12946.46</v>
      </c>
      <c r="E14" s="2">
        <v>189502.88</v>
      </c>
      <c r="F14" s="4">
        <v>9475.14</v>
      </c>
      <c r="H14" s="21">
        <v>9</v>
      </c>
      <c r="I14" s="12">
        <v>7474.36</v>
      </c>
      <c r="J14" s="12">
        <v>11312.01</v>
      </c>
      <c r="K14" s="12">
        <v>3801.96</v>
      </c>
      <c r="L14" s="12">
        <v>22588.329999999998</v>
      </c>
    </row>
    <row r="15" spans="1:12" x14ac:dyDescent="0.25">
      <c r="A15" s="8">
        <v>35247</v>
      </c>
      <c r="B15" s="2">
        <v>13</v>
      </c>
      <c r="C15" s="2">
        <v>20</v>
      </c>
      <c r="D15" s="2">
        <v>13523.84</v>
      </c>
      <c r="E15" s="2">
        <v>203026.72</v>
      </c>
      <c r="F15" s="4">
        <v>10151.34</v>
      </c>
      <c r="H15" s="21">
        <v>10</v>
      </c>
      <c r="I15" s="12">
        <v>8191.92</v>
      </c>
      <c r="J15" s="12">
        <v>12061.21</v>
      </c>
      <c r="K15" s="12">
        <v>4489.2299999999996</v>
      </c>
      <c r="L15" s="12">
        <v>24742.359999999997</v>
      </c>
    </row>
    <row r="16" spans="1:12" x14ac:dyDescent="0.25">
      <c r="A16" s="8">
        <v>35247</v>
      </c>
      <c r="B16" s="2">
        <v>14</v>
      </c>
      <c r="C16" s="2">
        <v>20</v>
      </c>
      <c r="D16" s="2">
        <v>13439.64</v>
      </c>
      <c r="E16" s="2">
        <v>216466.36</v>
      </c>
      <c r="F16" s="4">
        <v>10823.32</v>
      </c>
      <c r="H16" s="21">
        <v>11</v>
      </c>
      <c r="I16" s="12">
        <v>8827.82</v>
      </c>
      <c r="J16" s="12">
        <v>13551.98</v>
      </c>
      <c r="K16" s="12">
        <v>5542.81</v>
      </c>
      <c r="L16" s="12">
        <v>27922.61</v>
      </c>
    </row>
    <row r="17" spans="1:12" x14ac:dyDescent="0.25">
      <c r="A17" s="8">
        <v>35247</v>
      </c>
      <c r="B17" s="2">
        <v>15</v>
      </c>
      <c r="C17" s="2">
        <v>20</v>
      </c>
      <c r="D17" s="2">
        <v>12578.35</v>
      </c>
      <c r="E17" s="2">
        <v>229044.71</v>
      </c>
      <c r="F17" s="4">
        <v>11452.24</v>
      </c>
      <c r="H17" s="21">
        <v>12</v>
      </c>
      <c r="I17" s="12">
        <v>9475.14</v>
      </c>
      <c r="J17" s="12">
        <v>15562.12</v>
      </c>
      <c r="K17" s="12">
        <v>6143.13</v>
      </c>
      <c r="L17" s="12">
        <v>31180.390000000003</v>
      </c>
    </row>
    <row r="18" spans="1:12" x14ac:dyDescent="0.25">
      <c r="A18" s="8">
        <v>35247</v>
      </c>
      <c r="B18" s="2">
        <v>16</v>
      </c>
      <c r="C18" s="2">
        <v>20</v>
      </c>
      <c r="D18" s="2">
        <v>10864.64</v>
      </c>
      <c r="E18" s="2">
        <v>239909.35</v>
      </c>
      <c r="F18" s="4">
        <v>11995.47</v>
      </c>
      <c r="H18" s="21">
        <v>13</v>
      </c>
      <c r="I18" s="12">
        <v>10151.34</v>
      </c>
      <c r="J18" s="12">
        <v>16458.87</v>
      </c>
      <c r="K18" s="12">
        <v>6149.13</v>
      </c>
      <c r="L18" s="12">
        <v>32759.34</v>
      </c>
    </row>
    <row r="19" spans="1:12" x14ac:dyDescent="0.25">
      <c r="A19" s="8">
        <v>35247</v>
      </c>
      <c r="B19" s="2">
        <v>17</v>
      </c>
      <c r="C19" s="2">
        <v>20</v>
      </c>
      <c r="D19" s="2">
        <v>30665.040000000001</v>
      </c>
      <c r="E19" s="2">
        <v>270574.39</v>
      </c>
      <c r="F19" s="4">
        <v>13528.72</v>
      </c>
      <c r="H19" s="21">
        <v>14</v>
      </c>
      <c r="I19" s="12">
        <v>10823.32</v>
      </c>
      <c r="J19" s="12">
        <v>17294.78</v>
      </c>
      <c r="K19" s="12">
        <v>7332.14</v>
      </c>
      <c r="L19" s="12">
        <v>35450.239999999998</v>
      </c>
    </row>
    <row r="20" spans="1:12" x14ac:dyDescent="0.25">
      <c r="A20" s="8">
        <v>35247</v>
      </c>
      <c r="B20" s="2">
        <v>18</v>
      </c>
      <c r="C20" s="2">
        <v>20</v>
      </c>
      <c r="D20" s="2">
        <v>26695.27</v>
      </c>
      <c r="E20" s="2">
        <v>297269.65999999997</v>
      </c>
      <c r="F20" s="4">
        <v>14863.48</v>
      </c>
      <c r="H20" s="21">
        <v>15</v>
      </c>
      <c r="I20" s="12">
        <v>11452.24</v>
      </c>
      <c r="J20" s="12">
        <v>19265.400000000001</v>
      </c>
      <c r="K20" s="12">
        <v>8312.7000000000007</v>
      </c>
      <c r="L20" s="12">
        <v>39030.339999999997</v>
      </c>
    </row>
    <row r="21" spans="1:12" x14ac:dyDescent="0.25">
      <c r="A21" s="8">
        <v>35247</v>
      </c>
      <c r="B21" s="2">
        <v>19</v>
      </c>
      <c r="C21" s="2">
        <v>20</v>
      </c>
      <c r="D21" s="2">
        <v>29067.03</v>
      </c>
      <c r="E21" s="2">
        <v>326336.69</v>
      </c>
      <c r="F21" s="4">
        <v>16316.83</v>
      </c>
      <c r="H21" s="21">
        <v>16</v>
      </c>
      <c r="I21" s="12">
        <v>11995.47</v>
      </c>
      <c r="J21" s="12">
        <v>20603.63</v>
      </c>
      <c r="K21" s="12"/>
      <c r="L21" s="12">
        <v>32599.1</v>
      </c>
    </row>
    <row r="22" spans="1:12" x14ac:dyDescent="0.25">
      <c r="A22" s="8">
        <v>35247</v>
      </c>
      <c r="B22" s="2">
        <v>20</v>
      </c>
      <c r="C22" s="2">
        <v>20</v>
      </c>
      <c r="D22" s="2">
        <v>40989.550000000003</v>
      </c>
      <c r="E22" s="2">
        <v>367326.24</v>
      </c>
      <c r="F22" s="4">
        <v>18366.310000000001</v>
      </c>
      <c r="H22" s="21">
        <v>17</v>
      </c>
      <c r="I22" s="12">
        <v>13528.72</v>
      </c>
      <c r="J22" s="12">
        <v>21600.61</v>
      </c>
      <c r="K22" s="12"/>
      <c r="L22" s="12">
        <v>35129.33</v>
      </c>
    </row>
    <row r="23" spans="1:12" x14ac:dyDescent="0.25">
      <c r="A23" s="8">
        <v>35247</v>
      </c>
      <c r="B23" s="2">
        <v>21</v>
      </c>
      <c r="C23" s="2">
        <v>20</v>
      </c>
      <c r="D23" s="2">
        <v>52167.29</v>
      </c>
      <c r="E23" s="2">
        <v>419493.53</v>
      </c>
      <c r="F23" s="4">
        <v>20974.68</v>
      </c>
      <c r="H23" s="21">
        <v>18</v>
      </c>
      <c r="I23" s="12">
        <v>14863.48</v>
      </c>
      <c r="J23" s="12">
        <v>24135</v>
      </c>
      <c r="K23" s="12"/>
      <c r="L23" s="12">
        <v>38998.479999999996</v>
      </c>
    </row>
    <row r="24" spans="1:12" x14ac:dyDescent="0.25">
      <c r="A24" s="8">
        <v>35247</v>
      </c>
      <c r="B24" s="2">
        <v>22</v>
      </c>
      <c r="C24" s="2">
        <v>20</v>
      </c>
      <c r="D24" s="2">
        <v>7900.57</v>
      </c>
      <c r="E24" s="2">
        <v>427394.1</v>
      </c>
      <c r="F24" s="4">
        <v>21369.71</v>
      </c>
      <c r="H24" s="21">
        <v>19</v>
      </c>
      <c r="I24" s="12">
        <v>16316.83</v>
      </c>
      <c r="J24" s="12">
        <v>24763.360000000001</v>
      </c>
      <c r="K24" s="12"/>
      <c r="L24" s="12">
        <v>41080.19</v>
      </c>
    </row>
    <row r="25" spans="1:12" x14ac:dyDescent="0.25">
      <c r="A25" s="8">
        <v>35278</v>
      </c>
      <c r="B25" s="2">
        <v>0</v>
      </c>
      <c r="C25" s="2">
        <v>14</v>
      </c>
      <c r="D25" s="2">
        <v>19729.55</v>
      </c>
      <c r="E25" s="2">
        <v>19729.55</v>
      </c>
      <c r="F25" s="4">
        <v>1409.25</v>
      </c>
      <c r="H25" s="21">
        <v>20</v>
      </c>
      <c r="I25" s="12">
        <v>18366.310000000001</v>
      </c>
      <c r="J25" s="12"/>
      <c r="K25" s="12"/>
      <c r="L25" s="12">
        <v>18366.310000000001</v>
      </c>
    </row>
    <row r="26" spans="1:12" x14ac:dyDescent="0.25">
      <c r="A26" s="8">
        <v>35278</v>
      </c>
      <c r="B26" s="2">
        <v>1</v>
      </c>
      <c r="C26" s="2">
        <v>14</v>
      </c>
      <c r="D26" s="2">
        <v>3643.4</v>
      </c>
      <c r="E26" s="2">
        <v>23372.95</v>
      </c>
      <c r="F26" s="4">
        <v>1669.5</v>
      </c>
      <c r="H26" s="21">
        <v>21</v>
      </c>
      <c r="I26" s="12">
        <v>20974.68</v>
      </c>
      <c r="J26" s="12"/>
      <c r="K26" s="12"/>
      <c r="L26" s="12">
        <v>20974.68</v>
      </c>
    </row>
    <row r="27" spans="1:12" x14ac:dyDescent="0.25">
      <c r="A27" s="8">
        <v>35278</v>
      </c>
      <c r="B27" s="2">
        <v>2</v>
      </c>
      <c r="C27" s="2">
        <v>14</v>
      </c>
      <c r="D27" s="2">
        <v>9002.6299999999992</v>
      </c>
      <c r="E27" s="2">
        <v>32375.58</v>
      </c>
      <c r="F27" s="4">
        <v>2312.54</v>
      </c>
      <c r="H27" s="21">
        <v>22</v>
      </c>
      <c r="I27" s="12">
        <v>21369.71</v>
      </c>
      <c r="J27" s="12"/>
      <c r="K27" s="12"/>
      <c r="L27" s="12">
        <v>21369.71</v>
      </c>
    </row>
    <row r="28" spans="1:12" x14ac:dyDescent="0.25">
      <c r="A28" s="8">
        <v>35278</v>
      </c>
      <c r="B28" s="2">
        <v>3</v>
      </c>
      <c r="C28" s="2">
        <v>14</v>
      </c>
      <c r="D28" s="2">
        <v>6280.32</v>
      </c>
      <c r="E28" s="2">
        <v>38655.9</v>
      </c>
      <c r="F28" s="4">
        <v>2761.14</v>
      </c>
      <c r="H28" s="21" t="s">
        <v>464</v>
      </c>
      <c r="I28" s="12">
        <v>216551.89999999997</v>
      </c>
      <c r="J28" s="12">
        <v>247692.96999999997</v>
      </c>
      <c r="K28" s="12">
        <v>50426.710000000006</v>
      </c>
      <c r="L28" s="12">
        <v>514671.58</v>
      </c>
    </row>
    <row r="29" spans="1:12" x14ac:dyDescent="0.25">
      <c r="A29" s="8">
        <v>35278</v>
      </c>
      <c r="B29" s="2">
        <v>4</v>
      </c>
      <c r="C29" s="2">
        <v>14</v>
      </c>
      <c r="D29" s="2">
        <v>5416</v>
      </c>
      <c r="E29" s="2">
        <v>44071.9</v>
      </c>
      <c r="F29" s="4">
        <v>3147.99</v>
      </c>
    </row>
    <row r="30" spans="1:12" x14ac:dyDescent="0.25">
      <c r="A30" s="8">
        <v>35278</v>
      </c>
      <c r="B30" s="2">
        <v>5</v>
      </c>
      <c r="C30" s="2">
        <v>14</v>
      </c>
      <c r="D30" s="2">
        <v>4083.05</v>
      </c>
      <c r="E30" s="2">
        <v>48154.95</v>
      </c>
      <c r="F30" s="4">
        <v>3439.64</v>
      </c>
    </row>
    <row r="31" spans="1:12" x14ac:dyDescent="0.25">
      <c r="A31" s="8">
        <v>35278</v>
      </c>
      <c r="B31" s="2">
        <v>6</v>
      </c>
      <c r="C31" s="2">
        <v>14</v>
      </c>
      <c r="D31" s="2">
        <v>8026.8</v>
      </c>
      <c r="E31" s="2">
        <v>56181.75</v>
      </c>
      <c r="F31" s="4">
        <v>4012.98</v>
      </c>
    </row>
    <row r="32" spans="1:12" x14ac:dyDescent="0.25">
      <c r="A32" s="8">
        <v>35278</v>
      </c>
      <c r="B32" s="2">
        <v>7</v>
      </c>
      <c r="C32" s="2">
        <v>14</v>
      </c>
      <c r="D32" s="2">
        <v>3637.4</v>
      </c>
      <c r="E32" s="2">
        <v>59819.15</v>
      </c>
      <c r="F32" s="4">
        <v>4272.8</v>
      </c>
    </row>
    <row r="33" spans="1:6" x14ac:dyDescent="0.25">
      <c r="A33" s="8">
        <v>35278</v>
      </c>
      <c r="B33" s="2">
        <v>8</v>
      </c>
      <c r="C33" s="2">
        <v>14</v>
      </c>
      <c r="D33" s="2">
        <v>20284.189999999999</v>
      </c>
      <c r="E33" s="2">
        <v>80103.34</v>
      </c>
      <c r="F33" s="4">
        <v>5721.67</v>
      </c>
    </row>
    <row r="34" spans="1:6" x14ac:dyDescent="0.25">
      <c r="A34" s="8">
        <v>35278</v>
      </c>
      <c r="B34" s="2">
        <v>9</v>
      </c>
      <c r="C34" s="2">
        <v>14</v>
      </c>
      <c r="D34" s="2">
        <v>22552.12</v>
      </c>
      <c r="E34" s="2">
        <v>102655.46</v>
      </c>
      <c r="F34" s="4">
        <v>7332.53</v>
      </c>
    </row>
    <row r="35" spans="1:6" x14ac:dyDescent="0.25">
      <c r="A35" s="8">
        <v>35278</v>
      </c>
      <c r="B35" s="2">
        <v>10</v>
      </c>
      <c r="C35" s="2">
        <v>14</v>
      </c>
      <c r="D35" s="2">
        <v>7570.13</v>
      </c>
      <c r="E35" s="2">
        <v>110225.59</v>
      </c>
      <c r="F35" s="4">
        <v>7873.26</v>
      </c>
    </row>
    <row r="36" spans="1:6" x14ac:dyDescent="0.25">
      <c r="A36" s="8">
        <v>35278</v>
      </c>
      <c r="B36" s="2">
        <v>11</v>
      </c>
      <c r="C36" s="2">
        <v>14</v>
      </c>
      <c r="D36" s="2">
        <v>7278.06</v>
      </c>
      <c r="E36" s="2">
        <v>117503.65</v>
      </c>
      <c r="F36" s="4">
        <v>8393.1200000000008</v>
      </c>
    </row>
    <row r="37" spans="1:6" x14ac:dyDescent="0.25">
      <c r="A37" s="8">
        <v>35278</v>
      </c>
      <c r="B37" s="2">
        <v>12</v>
      </c>
      <c r="C37" s="2">
        <v>14</v>
      </c>
      <c r="D37" s="2">
        <v>3762.2</v>
      </c>
      <c r="E37" s="2">
        <v>121265.85</v>
      </c>
      <c r="F37" s="4">
        <v>8661.85</v>
      </c>
    </row>
    <row r="38" spans="1:6" x14ac:dyDescent="0.25">
      <c r="A38" s="8">
        <v>35278</v>
      </c>
      <c r="B38" s="2">
        <v>13</v>
      </c>
      <c r="C38" s="2">
        <v>14</v>
      </c>
      <c r="D38" s="2">
        <v>9570.93</v>
      </c>
      <c r="E38" s="2">
        <v>130836.78</v>
      </c>
      <c r="F38" s="4">
        <v>9345.48</v>
      </c>
    </row>
    <row r="39" spans="1:6" x14ac:dyDescent="0.25">
      <c r="A39" s="8">
        <v>35278</v>
      </c>
      <c r="B39" s="2">
        <v>14</v>
      </c>
      <c r="C39" s="2">
        <v>14</v>
      </c>
      <c r="D39" s="2">
        <v>16500.18</v>
      </c>
      <c r="E39" s="2">
        <v>147336.95999999999</v>
      </c>
      <c r="F39" s="4">
        <v>10524.07</v>
      </c>
    </row>
    <row r="40" spans="1:6" x14ac:dyDescent="0.25">
      <c r="A40" s="8">
        <v>35278</v>
      </c>
      <c r="B40" s="2">
        <v>15</v>
      </c>
      <c r="C40" s="2">
        <v>14</v>
      </c>
      <c r="D40" s="2">
        <v>9658.5</v>
      </c>
      <c r="E40" s="2">
        <v>156995.46</v>
      </c>
      <c r="F40" s="4">
        <v>11213.96</v>
      </c>
    </row>
    <row r="41" spans="1:6" x14ac:dyDescent="0.25">
      <c r="A41" s="8">
        <v>35278</v>
      </c>
      <c r="B41" s="2">
        <v>16</v>
      </c>
      <c r="C41" s="2">
        <v>14</v>
      </c>
      <c r="D41" s="2">
        <v>9489.82</v>
      </c>
      <c r="E41" s="2">
        <v>166485.28</v>
      </c>
      <c r="F41" s="4">
        <v>11891.81</v>
      </c>
    </row>
    <row r="42" spans="1:6" x14ac:dyDescent="0.25">
      <c r="A42" s="8">
        <v>35278</v>
      </c>
      <c r="B42" s="2">
        <v>17</v>
      </c>
      <c r="C42" s="2">
        <v>14</v>
      </c>
      <c r="D42" s="2">
        <v>21950.880000000001</v>
      </c>
      <c r="E42" s="2">
        <v>188436.16</v>
      </c>
      <c r="F42" s="4">
        <v>13459.73</v>
      </c>
    </row>
    <row r="43" spans="1:6" x14ac:dyDescent="0.25">
      <c r="A43" s="8">
        <v>35278</v>
      </c>
      <c r="B43" s="2">
        <v>18</v>
      </c>
      <c r="C43" s="2">
        <v>14</v>
      </c>
      <c r="D43" s="2">
        <v>23381.31</v>
      </c>
      <c r="E43" s="2">
        <v>211817.47</v>
      </c>
      <c r="F43" s="4">
        <v>15129.82</v>
      </c>
    </row>
    <row r="44" spans="1:6" x14ac:dyDescent="0.25">
      <c r="A44" s="8">
        <v>35278</v>
      </c>
      <c r="B44" s="2">
        <v>19</v>
      </c>
      <c r="C44" s="2">
        <v>14</v>
      </c>
      <c r="D44" s="2">
        <v>12047.97</v>
      </c>
      <c r="E44" s="2">
        <v>223865.44</v>
      </c>
      <c r="F44" s="4">
        <v>15990.39</v>
      </c>
    </row>
    <row r="45" spans="1:6" x14ac:dyDescent="0.25">
      <c r="A45" s="8">
        <v>35278</v>
      </c>
      <c r="B45" s="2">
        <v>20</v>
      </c>
      <c r="C45" s="2">
        <v>14</v>
      </c>
      <c r="D45" s="2">
        <v>16203.39</v>
      </c>
      <c r="E45" s="2">
        <v>240068.83</v>
      </c>
      <c r="F45" s="4">
        <v>17147.77</v>
      </c>
    </row>
    <row r="46" spans="1:6" x14ac:dyDescent="0.25">
      <c r="A46" s="8">
        <v>35278</v>
      </c>
      <c r="B46" s="2">
        <v>21</v>
      </c>
      <c r="C46" s="2">
        <v>14</v>
      </c>
      <c r="D46" s="2">
        <v>2663.9</v>
      </c>
      <c r="E46" s="2">
        <v>242732.73</v>
      </c>
      <c r="F46" s="4">
        <v>17338.05</v>
      </c>
    </row>
    <row r="47" spans="1:6" x14ac:dyDescent="0.25">
      <c r="A47" s="8">
        <v>35309</v>
      </c>
      <c r="B47" s="2">
        <v>0</v>
      </c>
      <c r="C47" s="2">
        <v>9</v>
      </c>
      <c r="D47" s="2">
        <v>13558.3</v>
      </c>
      <c r="E47" s="2">
        <v>13558.3</v>
      </c>
      <c r="F47" s="4">
        <v>1506.48</v>
      </c>
    </row>
    <row r="48" spans="1:6" x14ac:dyDescent="0.25">
      <c r="A48" s="8">
        <v>35309</v>
      </c>
      <c r="B48" s="2">
        <v>1</v>
      </c>
      <c r="C48" s="2">
        <v>9</v>
      </c>
      <c r="D48" s="2">
        <v>3355.06</v>
      </c>
      <c r="E48" s="2">
        <v>16913.36</v>
      </c>
      <c r="F48" s="4">
        <v>1879.26</v>
      </c>
    </row>
    <row r="49" spans="1:6" x14ac:dyDescent="0.25">
      <c r="A49" s="8">
        <v>35309</v>
      </c>
      <c r="B49" s="2">
        <v>2</v>
      </c>
      <c r="C49" s="2">
        <v>9</v>
      </c>
      <c r="D49" s="2">
        <v>1470</v>
      </c>
      <c r="E49" s="2">
        <v>18383.36</v>
      </c>
      <c r="F49" s="4">
        <v>2042.6</v>
      </c>
    </row>
    <row r="50" spans="1:6" x14ac:dyDescent="0.25">
      <c r="A50" s="8">
        <v>35309</v>
      </c>
      <c r="B50" s="2">
        <v>3</v>
      </c>
      <c r="C50" s="2">
        <v>9</v>
      </c>
      <c r="D50" s="2">
        <v>2680.22</v>
      </c>
      <c r="E50" s="2">
        <v>21063.58</v>
      </c>
      <c r="F50" s="4">
        <v>2340.4</v>
      </c>
    </row>
    <row r="51" spans="1:6" x14ac:dyDescent="0.25">
      <c r="A51" s="8">
        <v>35309</v>
      </c>
      <c r="B51" s="2">
        <v>4</v>
      </c>
      <c r="C51" s="2">
        <v>9</v>
      </c>
      <c r="D51" s="2">
        <v>1441.37</v>
      </c>
      <c r="E51" s="2">
        <v>22504.95</v>
      </c>
      <c r="F51" s="4">
        <v>2500.5500000000002</v>
      </c>
    </row>
    <row r="52" spans="1:6" x14ac:dyDescent="0.25">
      <c r="A52" s="8">
        <v>35309</v>
      </c>
      <c r="B52" s="2">
        <v>5</v>
      </c>
      <c r="C52" s="2">
        <v>9</v>
      </c>
      <c r="D52" s="2">
        <v>1755</v>
      </c>
      <c r="E52" s="2">
        <v>24259.95</v>
      </c>
      <c r="F52" s="4">
        <v>2695.55</v>
      </c>
    </row>
    <row r="53" spans="1:6" x14ac:dyDescent="0.25">
      <c r="A53" s="8">
        <v>35309</v>
      </c>
      <c r="B53" s="2">
        <v>6</v>
      </c>
      <c r="C53" s="2">
        <v>9</v>
      </c>
      <c r="D53" s="2">
        <v>230.4</v>
      </c>
      <c r="E53" s="2">
        <v>24490.35</v>
      </c>
      <c r="F53" s="4">
        <v>2721.15</v>
      </c>
    </row>
    <row r="54" spans="1:6" x14ac:dyDescent="0.25">
      <c r="A54" s="8">
        <v>35309</v>
      </c>
      <c r="B54" s="2">
        <v>7</v>
      </c>
      <c r="C54" s="2">
        <v>9</v>
      </c>
      <c r="D54" s="2">
        <v>6371.55</v>
      </c>
      <c r="E54" s="2">
        <v>30861.9</v>
      </c>
      <c r="F54" s="4">
        <v>3429.1</v>
      </c>
    </row>
    <row r="55" spans="1:6" x14ac:dyDescent="0.25">
      <c r="A55" s="8">
        <v>35309</v>
      </c>
      <c r="B55" s="2">
        <v>8</v>
      </c>
      <c r="C55" s="2">
        <v>9</v>
      </c>
      <c r="D55" s="2">
        <v>1100.5</v>
      </c>
      <c r="E55" s="2">
        <v>31962.400000000001</v>
      </c>
      <c r="F55" s="4">
        <v>3551.38</v>
      </c>
    </row>
    <row r="56" spans="1:6" x14ac:dyDescent="0.25">
      <c r="A56" s="8">
        <v>35309</v>
      </c>
      <c r="B56" s="2">
        <v>9</v>
      </c>
      <c r="C56" s="2">
        <v>9</v>
      </c>
      <c r="D56" s="2">
        <v>2519</v>
      </c>
      <c r="E56" s="2">
        <v>34481.4</v>
      </c>
      <c r="F56" s="4">
        <v>3831.27</v>
      </c>
    </row>
    <row r="57" spans="1:6" x14ac:dyDescent="0.25">
      <c r="A57" s="8">
        <v>35309</v>
      </c>
      <c r="B57" s="2">
        <v>10</v>
      </c>
      <c r="C57" s="2">
        <v>9</v>
      </c>
      <c r="D57" s="2">
        <v>989.5</v>
      </c>
      <c r="E57" s="2">
        <v>35470.9</v>
      </c>
      <c r="F57" s="4">
        <v>3941.21</v>
      </c>
    </row>
    <row r="58" spans="1:6" x14ac:dyDescent="0.25">
      <c r="A58" s="8">
        <v>35309</v>
      </c>
      <c r="B58" s="2">
        <v>11</v>
      </c>
      <c r="C58" s="2">
        <v>9</v>
      </c>
      <c r="D58" s="2">
        <v>6757.05</v>
      </c>
      <c r="E58" s="2">
        <v>42227.95</v>
      </c>
      <c r="F58" s="4">
        <v>4691.99</v>
      </c>
    </row>
    <row r="59" spans="1:6" x14ac:dyDescent="0.25">
      <c r="A59" s="8">
        <v>35309</v>
      </c>
      <c r="B59" s="2">
        <v>12</v>
      </c>
      <c r="C59" s="2">
        <v>9</v>
      </c>
      <c r="D59" s="2">
        <v>9336.4500000000007</v>
      </c>
      <c r="E59" s="2">
        <v>51564.4</v>
      </c>
      <c r="F59" s="4">
        <v>5729.38</v>
      </c>
    </row>
    <row r="60" spans="1:6" x14ac:dyDescent="0.25">
      <c r="A60" s="8">
        <v>35309</v>
      </c>
      <c r="B60" s="2">
        <v>13</v>
      </c>
      <c r="C60" s="2">
        <v>9</v>
      </c>
      <c r="D60" s="2">
        <v>6171.38</v>
      </c>
      <c r="E60" s="2">
        <v>57735.78</v>
      </c>
      <c r="F60" s="4">
        <v>6415.09</v>
      </c>
    </row>
    <row r="61" spans="1:6" x14ac:dyDescent="0.25">
      <c r="A61" s="8">
        <v>35309</v>
      </c>
      <c r="B61" s="2">
        <v>14</v>
      </c>
      <c r="C61" s="2">
        <v>9</v>
      </c>
      <c r="D61" s="2">
        <v>2397</v>
      </c>
      <c r="E61" s="2">
        <v>60132.78</v>
      </c>
      <c r="F61" s="4">
        <v>6681.42</v>
      </c>
    </row>
    <row r="62" spans="1:6" x14ac:dyDescent="0.25">
      <c r="A62" s="8">
        <v>35309</v>
      </c>
      <c r="B62" s="2">
        <v>15</v>
      </c>
      <c r="C62" s="2">
        <v>9</v>
      </c>
      <c r="D62" s="2">
        <v>3221.6</v>
      </c>
      <c r="E62" s="2">
        <v>63354.38</v>
      </c>
      <c r="F62" s="4">
        <v>7039.38</v>
      </c>
    </row>
    <row r="63" spans="1:6" x14ac:dyDescent="0.25">
      <c r="A63" s="8">
        <v>35309</v>
      </c>
      <c r="B63" s="2">
        <v>16</v>
      </c>
      <c r="C63" s="2">
        <v>9</v>
      </c>
      <c r="D63" s="2">
        <v>5402.89</v>
      </c>
      <c r="E63" s="2">
        <v>68757.27</v>
      </c>
      <c r="F63" s="4">
        <v>7639.7</v>
      </c>
    </row>
    <row r="64" spans="1:6" x14ac:dyDescent="0.25">
      <c r="A64" s="8">
        <v>35309</v>
      </c>
      <c r="B64" s="2">
        <v>17</v>
      </c>
      <c r="C64" s="2">
        <v>9</v>
      </c>
      <c r="D64" s="2">
        <v>21861.75</v>
      </c>
      <c r="E64" s="2">
        <v>90619.02</v>
      </c>
      <c r="F64" s="4">
        <v>10068.780000000001</v>
      </c>
    </row>
    <row r="65" spans="1:6" x14ac:dyDescent="0.25">
      <c r="A65" s="8">
        <v>35309</v>
      </c>
      <c r="B65" s="2">
        <v>18</v>
      </c>
      <c r="C65" s="2">
        <v>9</v>
      </c>
      <c r="D65" s="2">
        <v>6668.63</v>
      </c>
      <c r="E65" s="2">
        <v>97287.65</v>
      </c>
      <c r="F65" s="4">
        <v>10809.74</v>
      </c>
    </row>
    <row r="66" spans="1:6" x14ac:dyDescent="0.25">
      <c r="A66" s="8">
        <v>35309</v>
      </c>
      <c r="B66" s="2">
        <v>19</v>
      </c>
      <c r="C66" s="2">
        <v>9</v>
      </c>
      <c r="D66" s="2">
        <v>5689.25</v>
      </c>
      <c r="E66" s="2">
        <v>102976.9</v>
      </c>
      <c r="F66" s="4">
        <v>11441.88</v>
      </c>
    </row>
    <row r="67" spans="1:6" x14ac:dyDescent="0.25">
      <c r="A67" s="8">
        <v>35339</v>
      </c>
      <c r="B67" s="2">
        <v>0</v>
      </c>
      <c r="C67" s="2">
        <v>9</v>
      </c>
      <c r="D67" s="2">
        <v>17502.39</v>
      </c>
      <c r="E67" s="2">
        <v>17502.39</v>
      </c>
      <c r="F67" s="4">
        <v>1944.71</v>
      </c>
    </row>
    <row r="68" spans="1:6" x14ac:dyDescent="0.25">
      <c r="A68" s="8">
        <v>35339</v>
      </c>
      <c r="B68" s="2">
        <v>1</v>
      </c>
      <c r="C68" s="2">
        <v>9</v>
      </c>
      <c r="D68" s="2">
        <v>2254.6999999999998</v>
      </c>
      <c r="E68" s="2">
        <v>19757.09</v>
      </c>
      <c r="F68" s="4">
        <v>2195.23</v>
      </c>
    </row>
    <row r="69" spans="1:6" x14ac:dyDescent="0.25">
      <c r="A69" s="8">
        <v>35339</v>
      </c>
      <c r="B69" s="2">
        <v>2</v>
      </c>
      <c r="C69" s="2">
        <v>9</v>
      </c>
      <c r="D69" s="2">
        <v>6178.27</v>
      </c>
      <c r="E69" s="2">
        <v>25935.360000000001</v>
      </c>
      <c r="F69" s="4">
        <v>2881.71</v>
      </c>
    </row>
    <row r="70" spans="1:6" x14ac:dyDescent="0.25">
      <c r="A70" s="8">
        <v>35339</v>
      </c>
      <c r="B70" s="2">
        <v>3</v>
      </c>
      <c r="C70" s="2">
        <v>9</v>
      </c>
      <c r="D70" s="2">
        <v>20382.96</v>
      </c>
      <c r="E70" s="2">
        <v>46318.32</v>
      </c>
      <c r="F70" s="4">
        <v>5146.4799999999996</v>
      </c>
    </row>
    <row r="71" spans="1:6" x14ac:dyDescent="0.25">
      <c r="A71" s="8">
        <v>35339</v>
      </c>
      <c r="B71" s="2">
        <v>4</v>
      </c>
      <c r="C71" s="2">
        <v>9</v>
      </c>
      <c r="D71" s="2">
        <v>11013.43</v>
      </c>
      <c r="E71" s="2">
        <v>57331.75</v>
      </c>
      <c r="F71" s="4">
        <v>6370.19</v>
      </c>
    </row>
    <row r="72" spans="1:6" x14ac:dyDescent="0.25">
      <c r="A72" s="8">
        <v>35339</v>
      </c>
      <c r="B72" s="2">
        <v>5</v>
      </c>
      <c r="C72" s="2">
        <v>9</v>
      </c>
      <c r="D72" s="2">
        <v>6214.28</v>
      </c>
      <c r="E72" s="2">
        <v>63546.03</v>
      </c>
      <c r="F72" s="4">
        <v>7060.67</v>
      </c>
    </row>
    <row r="73" spans="1:6" x14ac:dyDescent="0.25">
      <c r="A73" s="8">
        <v>35339</v>
      </c>
      <c r="B73" s="2">
        <v>6</v>
      </c>
      <c r="C73" s="2">
        <v>9</v>
      </c>
      <c r="D73" s="2">
        <v>8637.5400000000009</v>
      </c>
      <c r="E73" s="2">
        <v>72183.570000000007</v>
      </c>
      <c r="F73" s="4">
        <v>8020.4</v>
      </c>
    </row>
    <row r="74" spans="1:6" x14ac:dyDescent="0.25">
      <c r="A74" s="8">
        <v>35339</v>
      </c>
      <c r="B74" s="2">
        <v>7</v>
      </c>
      <c r="C74" s="2">
        <v>9</v>
      </c>
      <c r="D74" s="2">
        <v>2964.81</v>
      </c>
      <c r="E74" s="2">
        <v>75148.38</v>
      </c>
      <c r="F74" s="4">
        <v>8349.82</v>
      </c>
    </row>
    <row r="75" spans="1:6" x14ac:dyDescent="0.25">
      <c r="A75" s="8">
        <v>35339</v>
      </c>
      <c r="B75" s="2">
        <v>8</v>
      </c>
      <c r="C75" s="2">
        <v>9</v>
      </c>
      <c r="D75" s="2">
        <v>6884.75</v>
      </c>
      <c r="E75" s="2">
        <v>82033.13</v>
      </c>
      <c r="F75" s="4">
        <v>9114.7900000000009</v>
      </c>
    </row>
    <row r="76" spans="1:6" x14ac:dyDescent="0.25">
      <c r="A76" s="8">
        <v>35339</v>
      </c>
      <c r="B76" s="2">
        <v>9</v>
      </c>
      <c r="C76" s="2">
        <v>9</v>
      </c>
      <c r="D76" s="2">
        <v>19774.95</v>
      </c>
      <c r="E76" s="2">
        <v>101808.08</v>
      </c>
      <c r="F76" s="4">
        <v>11312.01</v>
      </c>
    </row>
    <row r="77" spans="1:6" x14ac:dyDescent="0.25">
      <c r="A77" s="8">
        <v>35339</v>
      </c>
      <c r="B77" s="2">
        <v>10</v>
      </c>
      <c r="C77" s="2">
        <v>9</v>
      </c>
      <c r="D77" s="2">
        <v>6742.85</v>
      </c>
      <c r="E77" s="2">
        <v>108550.93</v>
      </c>
      <c r="F77" s="4">
        <v>12061.21</v>
      </c>
    </row>
    <row r="78" spans="1:6" x14ac:dyDescent="0.25">
      <c r="A78" s="8">
        <v>35339</v>
      </c>
      <c r="B78" s="2">
        <v>11</v>
      </c>
      <c r="C78" s="2">
        <v>9</v>
      </c>
      <c r="D78" s="2">
        <v>13416.89</v>
      </c>
      <c r="E78" s="2">
        <v>121967.82</v>
      </c>
      <c r="F78" s="4">
        <v>13551.98</v>
      </c>
    </row>
    <row r="79" spans="1:6" x14ac:dyDescent="0.25">
      <c r="A79" s="8">
        <v>35339</v>
      </c>
      <c r="B79" s="2">
        <v>12</v>
      </c>
      <c r="C79" s="2">
        <v>9</v>
      </c>
      <c r="D79" s="2">
        <v>18091.25</v>
      </c>
      <c r="E79" s="2">
        <v>140059.07</v>
      </c>
      <c r="F79" s="4">
        <v>15562.12</v>
      </c>
    </row>
    <row r="80" spans="1:6" x14ac:dyDescent="0.25">
      <c r="A80" s="8">
        <v>35339</v>
      </c>
      <c r="B80" s="2">
        <v>13</v>
      </c>
      <c r="C80" s="2">
        <v>9</v>
      </c>
      <c r="D80" s="2">
        <v>8070.75</v>
      </c>
      <c r="E80" s="2">
        <v>148129.82</v>
      </c>
      <c r="F80" s="4">
        <v>16458.87</v>
      </c>
    </row>
    <row r="81" spans="1:6" x14ac:dyDescent="0.25">
      <c r="A81" s="8">
        <v>35339</v>
      </c>
      <c r="B81" s="2">
        <v>14</v>
      </c>
      <c r="C81" s="2">
        <v>9</v>
      </c>
      <c r="D81" s="2">
        <v>7523.16</v>
      </c>
      <c r="E81" s="2">
        <v>155652.98000000001</v>
      </c>
      <c r="F81" s="4">
        <v>17294.78</v>
      </c>
    </row>
    <row r="82" spans="1:6" x14ac:dyDescent="0.25">
      <c r="A82" s="8">
        <v>35339</v>
      </c>
      <c r="B82" s="2">
        <v>15</v>
      </c>
      <c r="C82" s="2">
        <v>9</v>
      </c>
      <c r="D82" s="2">
        <v>17735.580000000002</v>
      </c>
      <c r="E82" s="2">
        <v>173388.56</v>
      </c>
      <c r="F82" s="4">
        <v>19265.400000000001</v>
      </c>
    </row>
    <row r="83" spans="1:6" x14ac:dyDescent="0.25">
      <c r="A83" s="8">
        <v>35339</v>
      </c>
      <c r="B83" s="2">
        <v>16</v>
      </c>
      <c r="C83" s="2">
        <v>9</v>
      </c>
      <c r="D83" s="2">
        <v>12044.08</v>
      </c>
      <c r="E83" s="2">
        <v>185432.64</v>
      </c>
      <c r="F83" s="4">
        <v>20603.63</v>
      </c>
    </row>
    <row r="84" spans="1:6" x14ac:dyDescent="0.25">
      <c r="A84" s="8">
        <v>35339</v>
      </c>
      <c r="B84" s="2">
        <v>17</v>
      </c>
      <c r="C84" s="2">
        <v>9</v>
      </c>
      <c r="D84" s="2">
        <v>8972.83</v>
      </c>
      <c r="E84" s="2">
        <v>194405.47</v>
      </c>
      <c r="F84" s="4">
        <v>21600.61</v>
      </c>
    </row>
    <row r="85" spans="1:6" x14ac:dyDescent="0.25">
      <c r="A85" s="8">
        <v>35339</v>
      </c>
      <c r="B85" s="2">
        <v>18</v>
      </c>
      <c r="C85" s="2">
        <v>9</v>
      </c>
      <c r="D85" s="2">
        <v>22809.55</v>
      </c>
      <c r="E85" s="2">
        <v>217215.02</v>
      </c>
      <c r="F85" s="4">
        <v>24135</v>
      </c>
    </row>
    <row r="86" spans="1:6" x14ac:dyDescent="0.25">
      <c r="A86" s="8">
        <v>35339</v>
      </c>
      <c r="B86" s="2">
        <v>19</v>
      </c>
      <c r="C86" s="2">
        <v>9</v>
      </c>
      <c r="D86" s="2">
        <v>5655.24</v>
      </c>
      <c r="E86" s="2">
        <v>222870.26</v>
      </c>
      <c r="F86" s="4">
        <v>24763.360000000001</v>
      </c>
    </row>
    <row r="87" spans="1:6" x14ac:dyDescent="0.25">
      <c r="A87" s="8">
        <v>35370</v>
      </c>
      <c r="B87" s="2">
        <v>0</v>
      </c>
      <c r="C87" s="2">
        <v>10</v>
      </c>
      <c r="D87" s="2">
        <v>17201.439999999999</v>
      </c>
      <c r="E87" s="2">
        <v>17201.439999999999</v>
      </c>
      <c r="F87" s="4">
        <v>1720.14</v>
      </c>
    </row>
    <row r="88" spans="1:6" x14ac:dyDescent="0.25">
      <c r="A88" s="8">
        <v>35370</v>
      </c>
      <c r="B88" s="2">
        <v>1</v>
      </c>
      <c r="C88" s="2">
        <v>10</v>
      </c>
      <c r="D88" s="2">
        <v>6522.36</v>
      </c>
      <c r="E88" s="2">
        <v>23723.8</v>
      </c>
      <c r="F88" s="4">
        <v>2372.38</v>
      </c>
    </row>
    <row r="89" spans="1:6" x14ac:dyDescent="0.25">
      <c r="A89" s="8">
        <v>35370</v>
      </c>
      <c r="B89" s="2">
        <v>2</v>
      </c>
      <c r="C89" s="2">
        <v>10</v>
      </c>
      <c r="D89" s="2">
        <v>6760.23</v>
      </c>
      <c r="E89" s="2">
        <v>30484.03</v>
      </c>
      <c r="F89" s="4">
        <v>3048.4</v>
      </c>
    </row>
    <row r="90" spans="1:6" x14ac:dyDescent="0.25">
      <c r="A90" s="8">
        <v>35370</v>
      </c>
      <c r="B90" s="2">
        <v>3</v>
      </c>
      <c r="C90" s="2">
        <v>10</v>
      </c>
      <c r="D90" s="2">
        <v>738.9</v>
      </c>
      <c r="E90" s="2">
        <v>31222.93</v>
      </c>
      <c r="F90" s="4">
        <v>3122.29</v>
      </c>
    </row>
    <row r="91" spans="1:6" x14ac:dyDescent="0.25">
      <c r="A91" s="8">
        <v>35370</v>
      </c>
      <c r="B91" s="2">
        <v>4</v>
      </c>
      <c r="C91" s="2">
        <v>10</v>
      </c>
      <c r="D91" s="2">
        <v>3994</v>
      </c>
      <c r="E91" s="2">
        <v>35216.93</v>
      </c>
      <c r="F91" s="4">
        <v>3521.69</v>
      </c>
    </row>
    <row r="92" spans="1:6" x14ac:dyDescent="0.25">
      <c r="A92" s="8">
        <v>35370</v>
      </c>
      <c r="B92" s="2">
        <v>5</v>
      </c>
      <c r="C92" s="2">
        <v>10</v>
      </c>
      <c r="D92" s="2">
        <v>2406.02</v>
      </c>
      <c r="E92" s="2">
        <v>37622.949999999997</v>
      </c>
      <c r="F92" s="4">
        <v>3762.3</v>
      </c>
    </row>
    <row r="93" spans="1:6" x14ac:dyDescent="0.25">
      <c r="A93" s="8">
        <v>35370</v>
      </c>
      <c r="B93" s="2">
        <v>6</v>
      </c>
      <c r="C93" s="2">
        <v>10</v>
      </c>
      <c r="D93" s="2">
        <v>11154.31</v>
      </c>
      <c r="E93" s="2">
        <v>48777.26</v>
      </c>
      <c r="F93" s="4">
        <v>4877.7299999999996</v>
      </c>
    </row>
    <row r="94" spans="1:6" x14ac:dyDescent="0.25">
      <c r="A94" s="8">
        <v>35370</v>
      </c>
      <c r="B94" s="2">
        <v>7</v>
      </c>
      <c r="C94" s="2">
        <v>10</v>
      </c>
      <c r="D94" s="2">
        <v>4689.8999999999996</v>
      </c>
      <c r="E94" s="2">
        <v>53467.16</v>
      </c>
      <c r="F94" s="4">
        <v>5346.72</v>
      </c>
    </row>
    <row r="95" spans="1:6" x14ac:dyDescent="0.25">
      <c r="A95" s="8">
        <v>35370</v>
      </c>
      <c r="B95" s="2">
        <v>8</v>
      </c>
      <c r="C95" s="2">
        <v>10</v>
      </c>
      <c r="D95" s="2">
        <v>1878.58</v>
      </c>
      <c r="E95" s="2">
        <v>55345.74</v>
      </c>
      <c r="F95" s="4">
        <v>5534.57</v>
      </c>
    </row>
    <row r="96" spans="1:6" x14ac:dyDescent="0.25">
      <c r="A96" s="8">
        <v>35370</v>
      </c>
      <c r="B96" s="2">
        <v>9</v>
      </c>
      <c r="C96" s="2">
        <v>10</v>
      </c>
      <c r="D96" s="2">
        <v>1835</v>
      </c>
      <c r="E96" s="2">
        <v>57180.74</v>
      </c>
      <c r="F96" s="4">
        <v>5718.07</v>
      </c>
    </row>
    <row r="97" spans="1:6" x14ac:dyDescent="0.25">
      <c r="A97" s="8">
        <v>35370</v>
      </c>
      <c r="B97" s="2">
        <v>10</v>
      </c>
      <c r="C97" s="2">
        <v>10</v>
      </c>
      <c r="D97" s="2">
        <v>2593.31</v>
      </c>
      <c r="E97" s="2">
        <v>59774.05</v>
      </c>
      <c r="F97" s="4">
        <v>5977.41</v>
      </c>
    </row>
    <row r="98" spans="1:6" x14ac:dyDescent="0.25">
      <c r="A98" s="8">
        <v>35370</v>
      </c>
      <c r="B98" s="2">
        <v>11</v>
      </c>
      <c r="C98" s="2">
        <v>10</v>
      </c>
      <c r="D98" s="2">
        <v>5089.3999999999996</v>
      </c>
      <c r="E98" s="2">
        <v>64863.45</v>
      </c>
      <c r="F98" s="4">
        <v>6486.35</v>
      </c>
    </row>
    <row r="99" spans="1:6" x14ac:dyDescent="0.25">
      <c r="A99" s="8">
        <v>35370</v>
      </c>
      <c r="B99" s="2">
        <v>12</v>
      </c>
      <c r="C99" s="2">
        <v>10</v>
      </c>
      <c r="D99" s="2">
        <v>3851.05</v>
      </c>
      <c r="E99" s="2">
        <v>68714.5</v>
      </c>
      <c r="F99" s="4">
        <v>6871.45</v>
      </c>
    </row>
    <row r="100" spans="1:6" x14ac:dyDescent="0.25">
      <c r="A100" s="8">
        <v>35370</v>
      </c>
      <c r="B100" s="2">
        <v>13</v>
      </c>
      <c r="C100" s="2">
        <v>10</v>
      </c>
      <c r="D100" s="2">
        <v>10142.459999999999</v>
      </c>
      <c r="E100" s="2">
        <v>78856.960000000006</v>
      </c>
      <c r="F100" s="4">
        <v>7885.7</v>
      </c>
    </row>
    <row r="101" spans="1:6" x14ac:dyDescent="0.25">
      <c r="A101" s="8">
        <v>35370</v>
      </c>
      <c r="B101" s="2">
        <v>14</v>
      </c>
      <c r="C101" s="2">
        <v>10</v>
      </c>
      <c r="D101" s="2">
        <v>2900.87</v>
      </c>
      <c r="E101" s="2">
        <v>81757.83</v>
      </c>
      <c r="F101" s="4">
        <v>8175.78</v>
      </c>
    </row>
    <row r="102" spans="1:6" x14ac:dyDescent="0.25">
      <c r="A102" s="8">
        <v>35370</v>
      </c>
      <c r="B102" s="2">
        <v>15</v>
      </c>
      <c r="C102" s="2">
        <v>10</v>
      </c>
      <c r="D102" s="2">
        <v>1982</v>
      </c>
      <c r="E102" s="2">
        <v>83739.83</v>
      </c>
      <c r="F102" s="4">
        <v>8373.98</v>
      </c>
    </row>
    <row r="103" spans="1:6" x14ac:dyDescent="0.25">
      <c r="A103" s="8">
        <v>35370</v>
      </c>
      <c r="B103" s="2">
        <v>16</v>
      </c>
      <c r="C103" s="2">
        <v>10</v>
      </c>
      <c r="D103" s="2">
        <v>11833.05</v>
      </c>
      <c r="E103" s="2">
        <v>95572.88</v>
      </c>
      <c r="F103" s="4">
        <v>9557.2900000000009</v>
      </c>
    </row>
    <row r="104" spans="1:6" x14ac:dyDescent="0.25">
      <c r="A104" s="8">
        <v>35370</v>
      </c>
      <c r="B104" s="2">
        <v>17</v>
      </c>
      <c r="C104" s="2">
        <v>10</v>
      </c>
      <c r="D104" s="2">
        <v>12739.69</v>
      </c>
      <c r="E104" s="2">
        <v>108312.57</v>
      </c>
      <c r="F104" s="4">
        <v>10831.26</v>
      </c>
    </row>
    <row r="105" spans="1:6" x14ac:dyDescent="0.25">
      <c r="A105" s="8">
        <v>35370</v>
      </c>
      <c r="B105" s="2">
        <v>18</v>
      </c>
      <c r="C105" s="2">
        <v>10</v>
      </c>
      <c r="D105" s="2">
        <v>86.85</v>
      </c>
      <c r="E105" s="2">
        <v>108399.42</v>
      </c>
      <c r="F105" s="4">
        <v>10839.94</v>
      </c>
    </row>
    <row r="106" spans="1:6" x14ac:dyDescent="0.25">
      <c r="A106" s="8">
        <v>35400</v>
      </c>
      <c r="B106" s="2">
        <v>0</v>
      </c>
      <c r="C106" s="2">
        <v>5</v>
      </c>
      <c r="D106" s="2">
        <v>13341.1</v>
      </c>
      <c r="E106" s="2">
        <v>13341.1</v>
      </c>
      <c r="F106" s="4">
        <v>2668.22</v>
      </c>
    </row>
    <row r="107" spans="1:6" x14ac:dyDescent="0.25">
      <c r="A107" s="8">
        <v>35400</v>
      </c>
      <c r="B107" s="2">
        <v>1</v>
      </c>
      <c r="C107" s="2">
        <v>5</v>
      </c>
      <c r="D107" s="2">
        <v>5594.23</v>
      </c>
      <c r="E107" s="2">
        <v>18935.330000000002</v>
      </c>
      <c r="F107" s="4">
        <v>3787.07</v>
      </c>
    </row>
    <row r="108" spans="1:6" x14ac:dyDescent="0.25">
      <c r="A108" s="8">
        <v>35400</v>
      </c>
      <c r="B108" s="2">
        <v>3</v>
      </c>
      <c r="C108" s="2">
        <v>5</v>
      </c>
      <c r="D108" s="2">
        <v>889.7</v>
      </c>
      <c r="E108" s="2">
        <v>19825.03</v>
      </c>
      <c r="F108" s="4">
        <v>3965.01</v>
      </c>
    </row>
    <row r="109" spans="1:6" x14ac:dyDescent="0.25">
      <c r="A109" s="8">
        <v>35400</v>
      </c>
      <c r="B109" s="2">
        <v>4</v>
      </c>
      <c r="C109" s="2">
        <v>5</v>
      </c>
      <c r="D109" s="2">
        <v>1051.2</v>
      </c>
      <c r="E109" s="2">
        <v>20876.23</v>
      </c>
      <c r="F109" s="4">
        <v>4175.25</v>
      </c>
    </row>
    <row r="110" spans="1:6" x14ac:dyDescent="0.25">
      <c r="A110" s="8">
        <v>35400</v>
      </c>
      <c r="B110" s="2">
        <v>7</v>
      </c>
      <c r="C110" s="2">
        <v>5</v>
      </c>
      <c r="D110" s="2">
        <v>1287.8</v>
      </c>
      <c r="E110" s="2">
        <v>22164.03</v>
      </c>
      <c r="F110" s="4">
        <v>4432.8100000000004</v>
      </c>
    </row>
    <row r="111" spans="1:6" x14ac:dyDescent="0.25">
      <c r="A111" s="8">
        <v>35400</v>
      </c>
      <c r="B111" s="2">
        <v>8</v>
      </c>
      <c r="C111" s="2">
        <v>5</v>
      </c>
      <c r="D111" s="2">
        <v>3261.94</v>
      </c>
      <c r="E111" s="2">
        <v>25425.97</v>
      </c>
      <c r="F111" s="4">
        <v>5085.1899999999996</v>
      </c>
    </row>
    <row r="112" spans="1:6" x14ac:dyDescent="0.25">
      <c r="A112" s="8">
        <v>35400</v>
      </c>
      <c r="B112" s="2">
        <v>9</v>
      </c>
      <c r="C112" s="2">
        <v>5</v>
      </c>
      <c r="D112" s="2">
        <v>2928.02</v>
      </c>
      <c r="E112" s="2">
        <v>28353.99</v>
      </c>
      <c r="F112" s="4">
        <v>5670.8</v>
      </c>
    </row>
    <row r="113" spans="1:6" x14ac:dyDescent="0.25">
      <c r="A113" s="8">
        <v>35400</v>
      </c>
      <c r="B113" s="2">
        <v>10</v>
      </c>
      <c r="C113" s="2">
        <v>5</v>
      </c>
      <c r="D113" s="2">
        <v>595.5</v>
      </c>
      <c r="E113" s="2">
        <v>28949.49</v>
      </c>
      <c r="F113" s="4">
        <v>5789.9</v>
      </c>
    </row>
    <row r="114" spans="1:6" x14ac:dyDescent="0.25">
      <c r="A114" s="8">
        <v>35400</v>
      </c>
      <c r="B114" s="2">
        <v>11</v>
      </c>
      <c r="C114" s="2">
        <v>5</v>
      </c>
      <c r="D114" s="2">
        <v>4414.75</v>
      </c>
      <c r="E114" s="2">
        <v>33364.239999999998</v>
      </c>
      <c r="F114" s="4">
        <v>6672.85</v>
      </c>
    </row>
    <row r="115" spans="1:6" x14ac:dyDescent="0.25">
      <c r="A115" s="8">
        <v>35400</v>
      </c>
      <c r="B115" s="2">
        <v>12</v>
      </c>
      <c r="C115" s="2">
        <v>5</v>
      </c>
      <c r="D115" s="2">
        <v>1930.93</v>
      </c>
      <c r="E115" s="2">
        <v>35295.17</v>
      </c>
      <c r="F115" s="4">
        <v>7059.03</v>
      </c>
    </row>
    <row r="116" spans="1:6" x14ac:dyDescent="0.25">
      <c r="A116" s="8">
        <v>35400</v>
      </c>
      <c r="B116" s="2">
        <v>13</v>
      </c>
      <c r="C116" s="2">
        <v>5</v>
      </c>
      <c r="D116" s="2">
        <v>2684.4</v>
      </c>
      <c r="E116" s="2">
        <v>37979.57</v>
      </c>
      <c r="F116" s="4">
        <v>7595.91</v>
      </c>
    </row>
    <row r="117" spans="1:6" x14ac:dyDescent="0.25">
      <c r="A117" s="8">
        <v>35400</v>
      </c>
      <c r="B117" s="2">
        <v>14</v>
      </c>
      <c r="C117" s="2">
        <v>5</v>
      </c>
      <c r="D117" s="2">
        <v>4484.3500000000004</v>
      </c>
      <c r="E117" s="2">
        <v>42463.92</v>
      </c>
      <c r="F117" s="4">
        <v>8492.7800000000007</v>
      </c>
    </row>
    <row r="118" spans="1:6" x14ac:dyDescent="0.25">
      <c r="A118" s="8">
        <v>35400</v>
      </c>
      <c r="B118" s="2">
        <v>15</v>
      </c>
      <c r="C118" s="2">
        <v>5</v>
      </c>
      <c r="D118" s="2">
        <v>9746.23</v>
      </c>
      <c r="E118" s="2">
        <v>52210.15</v>
      </c>
      <c r="F118" s="4">
        <v>10442.030000000001</v>
      </c>
    </row>
    <row r="119" spans="1:6" x14ac:dyDescent="0.25">
      <c r="A119" s="8">
        <v>35400</v>
      </c>
      <c r="B119" s="2">
        <v>16</v>
      </c>
      <c r="C119" s="2">
        <v>5</v>
      </c>
      <c r="D119" s="2">
        <v>4612.17</v>
      </c>
      <c r="E119" s="2">
        <v>56822.32</v>
      </c>
      <c r="F119" s="4">
        <v>11364.46</v>
      </c>
    </row>
    <row r="120" spans="1:6" x14ac:dyDescent="0.25">
      <c r="A120" s="8">
        <v>35400</v>
      </c>
      <c r="B120" s="2">
        <v>17</v>
      </c>
      <c r="C120" s="2">
        <v>5</v>
      </c>
      <c r="D120" s="2">
        <v>2027.08</v>
      </c>
      <c r="E120" s="2">
        <v>58849.4</v>
      </c>
      <c r="F120" s="4">
        <v>11769.88</v>
      </c>
    </row>
    <row r="121" spans="1:6" x14ac:dyDescent="0.25">
      <c r="A121" s="8">
        <v>35431</v>
      </c>
      <c r="B121" s="2">
        <v>0</v>
      </c>
      <c r="C121" s="2">
        <v>5</v>
      </c>
      <c r="D121" s="2">
        <v>3411.4</v>
      </c>
      <c r="E121" s="2">
        <v>3411.4</v>
      </c>
      <c r="F121" s="4">
        <v>682.28</v>
      </c>
    </row>
    <row r="122" spans="1:6" x14ac:dyDescent="0.25">
      <c r="A122" s="8">
        <v>35431</v>
      </c>
      <c r="B122" s="2">
        <v>2</v>
      </c>
      <c r="C122" s="2">
        <v>5</v>
      </c>
      <c r="D122" s="2">
        <v>2340</v>
      </c>
      <c r="E122" s="2">
        <v>5751.4</v>
      </c>
      <c r="F122" s="4">
        <v>1150.28</v>
      </c>
    </row>
    <row r="123" spans="1:6" x14ac:dyDescent="0.25">
      <c r="A123" s="8">
        <v>35431</v>
      </c>
      <c r="B123" s="2">
        <v>4</v>
      </c>
      <c r="C123" s="2">
        <v>5</v>
      </c>
      <c r="D123" s="2">
        <v>110</v>
      </c>
      <c r="E123" s="2">
        <v>5861.4</v>
      </c>
      <c r="F123" s="4">
        <v>1172.28</v>
      </c>
    </row>
    <row r="124" spans="1:6" x14ac:dyDescent="0.25">
      <c r="A124" s="8">
        <v>35431</v>
      </c>
      <c r="B124" s="2">
        <v>7</v>
      </c>
      <c r="C124" s="2">
        <v>5</v>
      </c>
      <c r="D124" s="2">
        <v>7705.55</v>
      </c>
      <c r="E124" s="2">
        <v>13566.95</v>
      </c>
      <c r="F124" s="4">
        <v>2713.39</v>
      </c>
    </row>
    <row r="125" spans="1:6" x14ac:dyDescent="0.25">
      <c r="A125" s="8">
        <v>35431</v>
      </c>
      <c r="B125" s="2">
        <v>8</v>
      </c>
      <c r="C125" s="2">
        <v>5</v>
      </c>
      <c r="D125" s="2">
        <v>1119.93</v>
      </c>
      <c r="E125" s="2">
        <v>14686.88</v>
      </c>
      <c r="F125" s="4">
        <v>2937.38</v>
      </c>
    </row>
    <row r="126" spans="1:6" x14ac:dyDescent="0.25">
      <c r="A126" s="8">
        <v>35431</v>
      </c>
      <c r="B126" s="2">
        <v>9</v>
      </c>
      <c r="C126" s="2">
        <v>5</v>
      </c>
      <c r="D126" s="2">
        <v>4322.93</v>
      </c>
      <c r="E126" s="2">
        <v>19009.810000000001</v>
      </c>
      <c r="F126" s="4">
        <v>3801.96</v>
      </c>
    </row>
    <row r="127" spans="1:6" x14ac:dyDescent="0.25">
      <c r="A127" s="8">
        <v>35431</v>
      </c>
      <c r="B127" s="2">
        <v>10</v>
      </c>
      <c r="C127" s="2">
        <v>5</v>
      </c>
      <c r="D127" s="2">
        <v>3436.35</v>
      </c>
      <c r="E127" s="2">
        <v>22446.16</v>
      </c>
      <c r="F127" s="4">
        <v>4489.2299999999996</v>
      </c>
    </row>
    <row r="128" spans="1:6" x14ac:dyDescent="0.25">
      <c r="A128" s="8">
        <v>35431</v>
      </c>
      <c r="B128" s="2">
        <v>11</v>
      </c>
      <c r="C128" s="2">
        <v>5</v>
      </c>
      <c r="D128" s="2">
        <v>5267.9</v>
      </c>
      <c r="E128" s="2">
        <v>27714.06</v>
      </c>
      <c r="F128" s="4">
        <v>5542.81</v>
      </c>
    </row>
    <row r="129" spans="1:6" x14ac:dyDescent="0.25">
      <c r="A129" s="8">
        <v>35431</v>
      </c>
      <c r="B129" s="2">
        <v>12</v>
      </c>
      <c r="C129" s="2">
        <v>5</v>
      </c>
      <c r="D129" s="2">
        <v>3001.58</v>
      </c>
      <c r="E129" s="2">
        <v>30715.64</v>
      </c>
      <c r="F129" s="4">
        <v>6143.13</v>
      </c>
    </row>
    <row r="130" spans="1:6" x14ac:dyDescent="0.25">
      <c r="A130" s="8">
        <v>35431</v>
      </c>
      <c r="B130" s="2">
        <v>13</v>
      </c>
      <c r="C130" s="2">
        <v>5</v>
      </c>
      <c r="D130" s="2">
        <v>30</v>
      </c>
      <c r="E130" s="2">
        <v>30745.64</v>
      </c>
      <c r="F130" s="4">
        <v>6149.13</v>
      </c>
    </row>
    <row r="131" spans="1:6" x14ac:dyDescent="0.25">
      <c r="A131" s="8">
        <v>35431</v>
      </c>
      <c r="B131" s="2">
        <v>14</v>
      </c>
      <c r="C131" s="2">
        <v>5</v>
      </c>
      <c r="D131" s="2">
        <v>5915.08</v>
      </c>
      <c r="E131" s="2">
        <v>36660.720000000001</v>
      </c>
      <c r="F131" s="4">
        <v>7332.14</v>
      </c>
    </row>
    <row r="132" spans="1:6" x14ac:dyDescent="0.25">
      <c r="A132" s="8">
        <v>35431</v>
      </c>
      <c r="B132" s="2">
        <v>15</v>
      </c>
      <c r="C132" s="2">
        <v>5</v>
      </c>
      <c r="D132" s="2">
        <v>4902.78</v>
      </c>
      <c r="E132" s="2">
        <v>41563.5</v>
      </c>
      <c r="F132" s="4">
        <v>8312.7000000000007</v>
      </c>
    </row>
    <row r="133" spans="1:6" x14ac:dyDescent="0.25">
      <c r="A133" s="8">
        <v>35462</v>
      </c>
      <c r="B133" s="2">
        <v>0</v>
      </c>
      <c r="C133" s="2">
        <v>2</v>
      </c>
      <c r="D133" s="2">
        <v>1075</v>
      </c>
      <c r="E133" s="2">
        <v>1075</v>
      </c>
      <c r="F133" s="4">
        <v>537.5</v>
      </c>
    </row>
    <row r="134" spans="1:6" x14ac:dyDescent="0.25">
      <c r="A134" s="8">
        <v>35462</v>
      </c>
      <c r="B134" s="2">
        <v>1</v>
      </c>
      <c r="C134" s="2">
        <v>2</v>
      </c>
      <c r="D134" s="2">
        <v>156</v>
      </c>
      <c r="E134" s="2">
        <v>1231</v>
      </c>
      <c r="F134" s="4">
        <v>615.5</v>
      </c>
    </row>
    <row r="135" spans="1:6" x14ac:dyDescent="0.25">
      <c r="A135" s="8">
        <v>35462</v>
      </c>
      <c r="B135" s="2">
        <v>8</v>
      </c>
      <c r="C135" s="2">
        <v>2</v>
      </c>
      <c r="D135" s="2">
        <v>706</v>
      </c>
      <c r="E135" s="2">
        <v>1937</v>
      </c>
      <c r="F135" s="4">
        <v>968.5</v>
      </c>
    </row>
    <row r="136" spans="1:6" x14ac:dyDescent="0.25">
      <c r="A136" s="8">
        <v>35462</v>
      </c>
      <c r="B136" s="2">
        <v>11</v>
      </c>
      <c r="C136" s="2">
        <v>2</v>
      </c>
      <c r="D136" s="2">
        <v>1863.5</v>
      </c>
      <c r="E136" s="2">
        <v>3800.5</v>
      </c>
      <c r="F136" s="4">
        <v>1900.25</v>
      </c>
    </row>
    <row r="137" spans="1:6" x14ac:dyDescent="0.25">
      <c r="A137" s="8">
        <v>35462</v>
      </c>
      <c r="B137" s="2">
        <v>12</v>
      </c>
      <c r="C137" s="2">
        <v>2</v>
      </c>
      <c r="D137" s="2">
        <v>686.7</v>
      </c>
      <c r="E137" s="2">
        <v>4487.2</v>
      </c>
      <c r="F137" s="4">
        <v>2243.6</v>
      </c>
    </row>
    <row r="138" spans="1:6" x14ac:dyDescent="0.25">
      <c r="A138" s="8">
        <v>35462</v>
      </c>
      <c r="B138" s="2">
        <v>14</v>
      </c>
      <c r="C138" s="2">
        <v>2</v>
      </c>
      <c r="D138" s="2">
        <v>76</v>
      </c>
      <c r="E138" s="2">
        <v>4563.2</v>
      </c>
      <c r="F138" s="4">
        <v>2281.6</v>
      </c>
    </row>
    <row r="139" spans="1:6" x14ac:dyDescent="0.25">
      <c r="A139" s="8">
        <v>35490</v>
      </c>
      <c r="B139" s="2">
        <v>0</v>
      </c>
      <c r="C139" s="2">
        <v>1</v>
      </c>
      <c r="D139" s="2">
        <v>147</v>
      </c>
      <c r="E139" s="2">
        <v>147</v>
      </c>
      <c r="F139" s="4">
        <v>147</v>
      </c>
    </row>
    <row r="140" spans="1:6" x14ac:dyDescent="0.25">
      <c r="A140" s="8">
        <v>35490</v>
      </c>
      <c r="B140" s="2">
        <v>2</v>
      </c>
      <c r="C140" s="2">
        <v>1</v>
      </c>
      <c r="D140" s="2">
        <v>210</v>
      </c>
      <c r="E140" s="2">
        <v>357</v>
      </c>
      <c r="F140" s="4">
        <v>357</v>
      </c>
    </row>
    <row r="141" spans="1:6" x14ac:dyDescent="0.25">
      <c r="A141" s="8">
        <v>35521</v>
      </c>
      <c r="B141" s="2">
        <v>0</v>
      </c>
      <c r="C141" s="2">
        <v>4</v>
      </c>
      <c r="D141" s="2">
        <v>1141.3</v>
      </c>
      <c r="E141" s="2">
        <v>1141.3</v>
      </c>
      <c r="F141" s="4">
        <v>285.33</v>
      </c>
    </row>
    <row r="142" spans="1:6" x14ac:dyDescent="0.25">
      <c r="A142" s="8">
        <v>35521</v>
      </c>
      <c r="B142" s="2">
        <v>2</v>
      </c>
      <c r="C142" s="2">
        <v>4</v>
      </c>
      <c r="D142" s="2">
        <v>330</v>
      </c>
      <c r="E142" s="2">
        <v>1471.3</v>
      </c>
      <c r="F142" s="4">
        <v>367.83</v>
      </c>
    </row>
    <row r="143" spans="1:6" x14ac:dyDescent="0.25">
      <c r="A143" s="8">
        <v>35521</v>
      </c>
      <c r="B143" s="2">
        <v>3</v>
      </c>
      <c r="C143" s="2">
        <v>4</v>
      </c>
      <c r="D143" s="2">
        <v>464</v>
      </c>
      <c r="E143" s="2">
        <v>1935.3</v>
      </c>
      <c r="F143" s="4">
        <v>483.83</v>
      </c>
    </row>
    <row r="144" spans="1:6" x14ac:dyDescent="0.25">
      <c r="A144" s="8">
        <v>35521</v>
      </c>
      <c r="B144" s="2">
        <v>4</v>
      </c>
      <c r="C144" s="2">
        <v>4</v>
      </c>
      <c r="D144" s="2">
        <v>57.5</v>
      </c>
      <c r="E144" s="2">
        <v>1992.8</v>
      </c>
      <c r="F144" s="4">
        <v>498.2</v>
      </c>
    </row>
    <row r="145" spans="1:6" x14ac:dyDescent="0.25">
      <c r="A145" s="8">
        <v>35521</v>
      </c>
      <c r="B145" s="2">
        <v>7</v>
      </c>
      <c r="C145" s="2">
        <v>4</v>
      </c>
      <c r="D145" s="2">
        <v>252</v>
      </c>
      <c r="E145" s="2">
        <v>2244.8000000000002</v>
      </c>
      <c r="F145" s="4">
        <v>561.20000000000005</v>
      </c>
    </row>
    <row r="146" spans="1:6" x14ac:dyDescent="0.25">
      <c r="A146" s="8">
        <v>35521</v>
      </c>
      <c r="B146" s="2">
        <v>8</v>
      </c>
      <c r="C146" s="2">
        <v>4</v>
      </c>
      <c r="D146" s="26">
        <v>12.5</v>
      </c>
      <c r="E146" s="2">
        <v>2257.3000000000002</v>
      </c>
      <c r="F146" s="4">
        <v>564.33000000000004</v>
      </c>
    </row>
    <row r="147" spans="1:6" x14ac:dyDescent="0.25">
      <c r="A147" s="8">
        <v>35521</v>
      </c>
      <c r="B147" s="2">
        <v>9</v>
      </c>
      <c r="C147" s="2">
        <v>4</v>
      </c>
      <c r="D147" s="2">
        <v>1289</v>
      </c>
      <c r="E147" s="2">
        <v>3546.3</v>
      </c>
      <c r="F147" s="4">
        <v>886.58</v>
      </c>
    </row>
    <row r="148" spans="1:6" x14ac:dyDescent="0.25">
      <c r="A148" s="8">
        <v>35521</v>
      </c>
      <c r="B148" s="2">
        <v>10</v>
      </c>
      <c r="C148" s="2">
        <v>4</v>
      </c>
      <c r="D148" s="2">
        <v>150</v>
      </c>
      <c r="E148" s="2">
        <v>3696.3</v>
      </c>
      <c r="F148" s="4">
        <v>924.08</v>
      </c>
    </row>
    <row r="149" spans="1:6" x14ac:dyDescent="0.25">
      <c r="A149" s="8">
        <v>35521</v>
      </c>
      <c r="B149" s="2">
        <v>11</v>
      </c>
      <c r="C149" s="2">
        <v>4</v>
      </c>
      <c r="D149" s="2">
        <v>1321.8</v>
      </c>
      <c r="E149" s="2">
        <v>5018.1000000000004</v>
      </c>
      <c r="F149" s="4">
        <v>1254.53</v>
      </c>
    </row>
    <row r="150" spans="1:6" x14ac:dyDescent="0.25">
      <c r="A150" s="8">
        <v>35521</v>
      </c>
      <c r="B150" s="2">
        <v>12</v>
      </c>
      <c r="C150" s="2">
        <v>4</v>
      </c>
      <c r="D150" s="2">
        <v>1208</v>
      </c>
      <c r="E150" s="2">
        <v>6226.1</v>
      </c>
      <c r="F150" s="4">
        <v>1556.53</v>
      </c>
    </row>
    <row r="151" spans="1:6" x14ac:dyDescent="0.25">
      <c r="A151" s="8">
        <v>35551</v>
      </c>
      <c r="B151" s="2">
        <v>0</v>
      </c>
      <c r="C151" s="2">
        <v>2</v>
      </c>
      <c r="D151" s="2">
        <v>1338.2</v>
      </c>
      <c r="E151" s="2">
        <v>1338.2</v>
      </c>
      <c r="F151" s="4">
        <v>669.1</v>
      </c>
    </row>
    <row r="152" spans="1:6" x14ac:dyDescent="0.25">
      <c r="A152" s="8">
        <v>35551</v>
      </c>
      <c r="B152" s="2">
        <v>2</v>
      </c>
      <c r="C152" s="2">
        <v>2</v>
      </c>
      <c r="D152" s="2">
        <v>6281.49</v>
      </c>
      <c r="E152" s="2">
        <v>7619.69</v>
      </c>
      <c r="F152" s="4">
        <v>3809.85</v>
      </c>
    </row>
    <row r="153" spans="1:6" x14ac:dyDescent="0.25">
      <c r="A153" s="8">
        <v>35551</v>
      </c>
      <c r="B153" s="2">
        <v>3</v>
      </c>
      <c r="C153" s="2">
        <v>2</v>
      </c>
      <c r="D153" s="2">
        <v>1434</v>
      </c>
      <c r="E153" s="2">
        <v>9053.69</v>
      </c>
      <c r="F153" s="4">
        <v>4526.8500000000004</v>
      </c>
    </row>
    <row r="154" spans="1:6" x14ac:dyDescent="0.25">
      <c r="A154" s="8">
        <v>35551</v>
      </c>
      <c r="B154" s="2">
        <v>4</v>
      </c>
      <c r="C154" s="2">
        <v>2</v>
      </c>
      <c r="D154" s="2">
        <v>1891.61</v>
      </c>
      <c r="E154" s="2">
        <v>10945.3</v>
      </c>
      <c r="F154" s="4">
        <v>5472.65</v>
      </c>
    </row>
    <row r="155" spans="1:6" x14ac:dyDescent="0.25">
      <c r="A155" s="8">
        <v>35551</v>
      </c>
      <c r="B155" s="2">
        <v>7</v>
      </c>
      <c r="C155" s="2">
        <v>2</v>
      </c>
      <c r="D155" s="2">
        <v>2917</v>
      </c>
      <c r="E155" s="2">
        <v>13862.3</v>
      </c>
      <c r="F155" s="4">
        <v>6931.15</v>
      </c>
    </row>
    <row r="156" spans="1:6" x14ac:dyDescent="0.25">
      <c r="A156" s="8">
        <v>35551</v>
      </c>
      <c r="B156" s="2">
        <v>8</v>
      </c>
      <c r="C156" s="2">
        <v>2</v>
      </c>
      <c r="D156" s="2">
        <v>8446.4500000000007</v>
      </c>
      <c r="E156" s="2">
        <v>22308.75</v>
      </c>
      <c r="F156" s="4">
        <v>11154.38</v>
      </c>
    </row>
    <row r="157" spans="1:6" x14ac:dyDescent="0.25">
      <c r="A157" s="8">
        <v>35551</v>
      </c>
      <c r="B157" s="2">
        <v>9</v>
      </c>
      <c r="C157" s="2">
        <v>2</v>
      </c>
      <c r="D157" s="2">
        <v>2840.5</v>
      </c>
      <c r="E157" s="2">
        <v>25149.25</v>
      </c>
      <c r="F157" s="4">
        <v>12574.63</v>
      </c>
    </row>
    <row r="158" spans="1:6" x14ac:dyDescent="0.25">
      <c r="A158" s="8">
        <v>35551</v>
      </c>
      <c r="B158" s="2">
        <v>10</v>
      </c>
      <c r="C158" s="2">
        <v>2</v>
      </c>
      <c r="D158" s="2">
        <v>1759.2</v>
      </c>
      <c r="E158" s="2">
        <v>26908.45</v>
      </c>
      <c r="F158" s="4">
        <v>13454.23</v>
      </c>
    </row>
    <row r="159" spans="1:6" x14ac:dyDescent="0.25">
      <c r="A159" s="8">
        <v>35551</v>
      </c>
      <c r="B159" s="2">
        <v>11</v>
      </c>
      <c r="C159" s="2">
        <v>2</v>
      </c>
      <c r="D159" s="2">
        <v>1335.07</v>
      </c>
      <c r="E159" s="2">
        <v>28243.52</v>
      </c>
      <c r="F159" s="4">
        <v>14121.76</v>
      </c>
    </row>
    <row r="160" spans="1:6" x14ac:dyDescent="0.25">
      <c r="A160" s="8">
        <v>35582</v>
      </c>
      <c r="B160" s="2">
        <v>0</v>
      </c>
      <c r="C160" s="2">
        <v>2</v>
      </c>
      <c r="D160" s="2">
        <v>1651.05</v>
      </c>
      <c r="E160" s="2">
        <v>1651.05</v>
      </c>
      <c r="F160" s="4">
        <v>825.53</v>
      </c>
    </row>
    <row r="161" spans="1:6" x14ac:dyDescent="0.25">
      <c r="A161" s="8">
        <v>35582</v>
      </c>
      <c r="B161" s="2">
        <v>4</v>
      </c>
      <c r="C161" s="2">
        <v>2</v>
      </c>
      <c r="D161" s="2">
        <v>844.25</v>
      </c>
      <c r="E161" s="2">
        <v>2495.3000000000002</v>
      </c>
      <c r="F161" s="4">
        <v>1247.6500000000001</v>
      </c>
    </row>
    <row r="162" spans="1:6" x14ac:dyDescent="0.25">
      <c r="A162" s="8">
        <v>35582</v>
      </c>
      <c r="B162" s="2">
        <v>5</v>
      </c>
      <c r="C162" s="2">
        <v>2</v>
      </c>
      <c r="D162" s="2">
        <v>536.4</v>
      </c>
      <c r="E162" s="2">
        <v>3031.7</v>
      </c>
      <c r="F162" s="4">
        <v>1515.85</v>
      </c>
    </row>
    <row r="163" spans="1:6" x14ac:dyDescent="0.25">
      <c r="A163" s="8">
        <v>35582</v>
      </c>
      <c r="B163" s="2">
        <v>7</v>
      </c>
      <c r="C163" s="2">
        <v>2</v>
      </c>
      <c r="D163" s="2">
        <v>237.9</v>
      </c>
      <c r="E163" s="2">
        <v>3269.6</v>
      </c>
      <c r="F163" s="4">
        <v>1634.8</v>
      </c>
    </row>
    <row r="164" spans="1:6" x14ac:dyDescent="0.25">
      <c r="A164" s="8">
        <v>35582</v>
      </c>
      <c r="B164" s="2">
        <v>8</v>
      </c>
      <c r="C164" s="2">
        <v>2</v>
      </c>
      <c r="D164" s="2">
        <v>1378.07</v>
      </c>
      <c r="E164" s="2">
        <v>4647.67</v>
      </c>
      <c r="F164" s="4">
        <v>2323.84</v>
      </c>
    </row>
    <row r="165" spans="1:6" x14ac:dyDescent="0.25">
      <c r="A165" s="8">
        <v>35612</v>
      </c>
      <c r="B165" s="2">
        <v>0</v>
      </c>
      <c r="C165" s="2">
        <v>1</v>
      </c>
      <c r="D165" s="2">
        <v>120</v>
      </c>
      <c r="E165" s="2">
        <v>120</v>
      </c>
      <c r="F165" s="4">
        <v>120</v>
      </c>
    </row>
    <row r="166" spans="1:6" x14ac:dyDescent="0.25">
      <c r="A166" s="8">
        <v>35612</v>
      </c>
      <c r="B166" s="2">
        <v>2</v>
      </c>
      <c r="C166" s="2">
        <v>1</v>
      </c>
      <c r="D166" s="2">
        <v>412.35</v>
      </c>
      <c r="E166" s="2">
        <v>532.35</v>
      </c>
      <c r="F166" s="4">
        <v>532.35</v>
      </c>
    </row>
    <row r="167" spans="1:6" x14ac:dyDescent="0.25">
      <c r="A167" s="8">
        <v>35612</v>
      </c>
      <c r="B167" s="2">
        <v>3</v>
      </c>
      <c r="C167" s="2">
        <v>1</v>
      </c>
      <c r="D167" s="2">
        <v>642</v>
      </c>
      <c r="E167" s="2">
        <v>1174.3499999999999</v>
      </c>
      <c r="F167" s="4">
        <v>1174.3499999999999</v>
      </c>
    </row>
    <row r="168" spans="1:6" x14ac:dyDescent="0.25">
      <c r="A168" s="8">
        <v>35612</v>
      </c>
      <c r="B168" s="2">
        <v>7</v>
      </c>
      <c r="C168" s="2">
        <v>1</v>
      </c>
      <c r="D168" s="2">
        <v>1401</v>
      </c>
      <c r="E168" s="2">
        <v>2575.35</v>
      </c>
      <c r="F168" s="4">
        <v>2575.35</v>
      </c>
    </row>
    <row r="169" spans="1:6" x14ac:dyDescent="0.25">
      <c r="A169" s="8">
        <v>35612</v>
      </c>
      <c r="B169" s="2">
        <v>9</v>
      </c>
      <c r="C169" s="2">
        <v>1</v>
      </c>
      <c r="D169" s="2">
        <v>586</v>
      </c>
      <c r="E169" s="2">
        <v>3161.35</v>
      </c>
      <c r="F169" s="4">
        <v>3161.35</v>
      </c>
    </row>
    <row r="170" spans="1:6" x14ac:dyDescent="0.25">
      <c r="A170" s="8">
        <v>35643</v>
      </c>
      <c r="B170" s="2">
        <v>0</v>
      </c>
      <c r="C170" s="2">
        <v>2</v>
      </c>
      <c r="D170" s="2">
        <v>2207.7399999999998</v>
      </c>
      <c r="E170" s="2">
        <v>2207.7399999999998</v>
      </c>
      <c r="F170" s="4">
        <v>1103.8699999999999</v>
      </c>
    </row>
    <row r="171" spans="1:6" x14ac:dyDescent="0.25">
      <c r="A171" s="8">
        <v>35643</v>
      </c>
      <c r="B171" s="2">
        <v>2</v>
      </c>
      <c r="C171" s="2">
        <v>2</v>
      </c>
      <c r="D171" s="2">
        <v>1208</v>
      </c>
      <c r="E171" s="2">
        <v>3415.74</v>
      </c>
      <c r="F171" s="4">
        <v>1707.87</v>
      </c>
    </row>
    <row r="172" spans="1:6" x14ac:dyDescent="0.25">
      <c r="A172" s="8">
        <v>35643</v>
      </c>
      <c r="B172" s="2">
        <v>4</v>
      </c>
      <c r="C172" s="2">
        <v>2</v>
      </c>
      <c r="D172" s="2">
        <v>228</v>
      </c>
      <c r="E172" s="2">
        <v>3643.74</v>
      </c>
      <c r="F172" s="4">
        <v>1821.87</v>
      </c>
    </row>
    <row r="173" spans="1:6" x14ac:dyDescent="0.25">
      <c r="A173" s="8">
        <v>35643</v>
      </c>
      <c r="B173" s="2">
        <v>5</v>
      </c>
      <c r="C173" s="2">
        <v>2</v>
      </c>
      <c r="D173" s="2">
        <v>845.8</v>
      </c>
      <c r="E173" s="2">
        <v>4489.54</v>
      </c>
      <c r="F173" s="4">
        <v>2244.77</v>
      </c>
    </row>
    <row r="174" spans="1:6" x14ac:dyDescent="0.25">
      <c r="A174" s="8">
        <v>35643</v>
      </c>
      <c r="B174" s="2">
        <v>7</v>
      </c>
      <c r="C174" s="2">
        <v>2</v>
      </c>
      <c r="D174" s="2">
        <v>471.2</v>
      </c>
      <c r="E174" s="2">
        <v>4960.74</v>
      </c>
      <c r="F174" s="4">
        <v>2480.37</v>
      </c>
    </row>
    <row r="175" spans="1:6" x14ac:dyDescent="0.25">
      <c r="A175" s="8">
        <v>35643</v>
      </c>
      <c r="B175" s="2">
        <v>8</v>
      </c>
      <c r="C175" s="2">
        <v>2</v>
      </c>
      <c r="D175" s="2">
        <v>1259.5</v>
      </c>
      <c r="E175" s="2">
        <v>6220.24</v>
      </c>
      <c r="F175" s="4">
        <v>3110.12</v>
      </c>
    </row>
    <row r="176" spans="1:6" x14ac:dyDescent="0.25">
      <c r="A176" s="8">
        <v>35674</v>
      </c>
      <c r="B176" s="2">
        <v>0</v>
      </c>
      <c r="C176" s="2">
        <v>1</v>
      </c>
      <c r="D176" s="2">
        <v>920.1</v>
      </c>
      <c r="E176" s="2">
        <v>920.1</v>
      </c>
      <c r="F176" s="4">
        <v>920.1</v>
      </c>
    </row>
    <row r="177" spans="1:6" x14ac:dyDescent="0.25">
      <c r="A177" s="8">
        <v>35674</v>
      </c>
      <c r="B177" s="2">
        <v>4</v>
      </c>
      <c r="C177" s="2">
        <v>1</v>
      </c>
      <c r="D177" s="2">
        <v>519</v>
      </c>
      <c r="E177" s="2">
        <v>1439.1</v>
      </c>
      <c r="F177" s="4">
        <v>1439.1</v>
      </c>
    </row>
    <row r="178" spans="1:6" x14ac:dyDescent="0.25">
      <c r="A178" s="8">
        <v>35674</v>
      </c>
      <c r="B178" s="2">
        <v>6</v>
      </c>
      <c r="C178" s="2">
        <v>1</v>
      </c>
      <c r="D178" s="2">
        <v>1733.06</v>
      </c>
      <c r="E178" s="2">
        <v>3172.16</v>
      </c>
      <c r="F178" s="4">
        <v>3172.16</v>
      </c>
    </row>
    <row r="179" spans="1:6" x14ac:dyDescent="0.25">
      <c r="A179" s="8">
        <v>35735</v>
      </c>
      <c r="B179" s="2">
        <v>0</v>
      </c>
      <c r="C179" s="2">
        <v>1</v>
      </c>
      <c r="D179" s="2">
        <v>52.35</v>
      </c>
      <c r="E179" s="2">
        <v>52.35</v>
      </c>
      <c r="F179" s="4">
        <v>52.35</v>
      </c>
    </row>
    <row r="180" spans="1:6" x14ac:dyDescent="0.25">
      <c r="A180" s="8">
        <v>35735</v>
      </c>
      <c r="B180" s="2">
        <v>3</v>
      </c>
      <c r="C180" s="2">
        <v>1</v>
      </c>
      <c r="D180" s="2">
        <v>108.5</v>
      </c>
      <c r="E180" s="2">
        <v>160.85</v>
      </c>
      <c r="F180" s="4">
        <v>160.85</v>
      </c>
    </row>
    <row r="181" spans="1:6" x14ac:dyDescent="0.25">
      <c r="A181" s="8">
        <v>35735</v>
      </c>
      <c r="B181" s="2">
        <v>4</v>
      </c>
      <c r="C181" s="2">
        <v>1</v>
      </c>
      <c r="D181" s="2">
        <v>2052.5</v>
      </c>
      <c r="E181" s="2">
        <v>2213.35</v>
      </c>
      <c r="F181" s="4">
        <v>2213.35</v>
      </c>
    </row>
    <row r="182" spans="1:6" x14ac:dyDescent="0.25">
      <c r="A182" s="8">
        <v>35735</v>
      </c>
      <c r="B182" s="2">
        <v>5</v>
      </c>
      <c r="C182" s="2">
        <v>1</v>
      </c>
      <c r="D182" s="2">
        <v>210</v>
      </c>
      <c r="E182" s="2">
        <v>2423.35</v>
      </c>
      <c r="F182" s="4">
        <v>2423.35</v>
      </c>
    </row>
    <row r="183" spans="1:6" x14ac:dyDescent="0.25">
      <c r="A183" s="8">
        <v>35796</v>
      </c>
      <c r="B183" s="2">
        <v>0</v>
      </c>
      <c r="C183" s="2">
        <v>1</v>
      </c>
      <c r="D183" s="2">
        <v>649</v>
      </c>
      <c r="E183" s="2">
        <v>649</v>
      </c>
      <c r="F183" s="4">
        <v>649</v>
      </c>
    </row>
    <row r="184" spans="1:6" x14ac:dyDescent="0.25">
      <c r="A184" s="9">
        <v>35796</v>
      </c>
      <c r="B184" s="6">
        <v>2</v>
      </c>
      <c r="C184" s="6">
        <v>1</v>
      </c>
      <c r="D184" s="6">
        <v>1343.05</v>
      </c>
      <c r="E184" s="6">
        <v>1992.05</v>
      </c>
      <c r="F184" s="7">
        <v>1992.05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98623-9EBE-4008-BCF6-2FCF1840EB3B}">
  <dimension ref="A1:P78"/>
  <sheetViews>
    <sheetView topLeftCell="D1" workbookViewId="0">
      <selection activeCell="O66" sqref="O66"/>
    </sheetView>
  </sheetViews>
  <sheetFormatPr defaultRowHeight="15" x14ac:dyDescent="0.25"/>
  <cols>
    <col min="1" max="1" width="12.7109375" customWidth="1"/>
    <col min="2" max="2" width="31.85546875" bestFit="1" customWidth="1"/>
    <col min="3" max="3" width="16.7109375" customWidth="1"/>
    <col min="4" max="4" width="38" bestFit="1" customWidth="1"/>
    <col min="5" max="5" width="15.85546875" customWidth="1"/>
    <col min="6" max="6" width="16.7109375" customWidth="1"/>
    <col min="7" max="7" width="15.28515625" customWidth="1"/>
    <col min="8" max="8" width="12.140625" style="14" customWidth="1"/>
    <col min="9" max="9" width="18.85546875" style="13" bestFit="1" customWidth="1"/>
    <col min="10" max="10" width="16.140625" customWidth="1"/>
    <col min="11" max="11" width="15.5703125" bestFit="1" customWidth="1"/>
    <col min="13" max="13" width="16.7109375" customWidth="1"/>
    <col min="14" max="14" width="16" customWidth="1"/>
    <col min="15" max="15" width="22.140625" customWidth="1"/>
    <col min="16" max="16" width="21.42578125" customWidth="1"/>
  </cols>
  <sheetData>
    <row r="1" spans="1:16" x14ac:dyDescent="0.25">
      <c r="A1" s="11" t="s">
        <v>84</v>
      </c>
      <c r="B1" s="11" t="s">
        <v>85</v>
      </c>
      <c r="C1" s="39" t="s">
        <v>427</v>
      </c>
      <c r="D1" s="39" t="s">
        <v>281</v>
      </c>
      <c r="E1" s="39" t="s">
        <v>428</v>
      </c>
      <c r="F1" s="39" t="s">
        <v>429</v>
      </c>
      <c r="G1" s="39" t="s">
        <v>430</v>
      </c>
      <c r="H1" s="44" t="s">
        <v>431</v>
      </c>
      <c r="I1" s="45" t="s">
        <v>432</v>
      </c>
      <c r="J1" s="39" t="s">
        <v>433</v>
      </c>
      <c r="K1" s="39" t="s">
        <v>434</v>
      </c>
      <c r="M1" s="41" t="s">
        <v>427</v>
      </c>
      <c r="N1" s="42" t="s">
        <v>436</v>
      </c>
      <c r="O1" s="42" t="s">
        <v>437</v>
      </c>
      <c r="P1" s="43" t="s">
        <v>435</v>
      </c>
    </row>
    <row r="2" spans="1:16" x14ac:dyDescent="0.25">
      <c r="A2" s="2">
        <v>30</v>
      </c>
      <c r="B2" s="2" t="s">
        <v>37</v>
      </c>
      <c r="C2" s="2" t="s">
        <v>397</v>
      </c>
      <c r="D2" s="2" t="s">
        <v>408</v>
      </c>
      <c r="E2" s="2">
        <v>10</v>
      </c>
      <c r="F2" s="2">
        <v>0</v>
      </c>
      <c r="G2" s="2">
        <v>15</v>
      </c>
      <c r="H2" s="27">
        <v>25.89</v>
      </c>
      <c r="I2" s="12">
        <v>258.89999999999998</v>
      </c>
      <c r="J2" s="2">
        <v>0</v>
      </c>
      <c r="K2" s="2" t="s">
        <v>409</v>
      </c>
      <c r="M2" s="3" t="s">
        <v>403</v>
      </c>
      <c r="N2" s="2">
        <v>7</v>
      </c>
      <c r="O2" s="2">
        <v>5594.5</v>
      </c>
      <c r="P2" s="4">
        <v>0</v>
      </c>
    </row>
    <row r="3" spans="1:16" x14ac:dyDescent="0.25">
      <c r="A3" s="2">
        <v>70</v>
      </c>
      <c r="B3" s="2" t="s">
        <v>44</v>
      </c>
      <c r="C3" s="2" t="s">
        <v>385</v>
      </c>
      <c r="D3" s="2" t="s">
        <v>402</v>
      </c>
      <c r="E3" s="2">
        <v>15</v>
      </c>
      <c r="F3" s="2">
        <v>10</v>
      </c>
      <c r="G3" s="2">
        <v>30</v>
      </c>
      <c r="H3" s="27">
        <v>15</v>
      </c>
      <c r="I3" s="12">
        <v>225</v>
      </c>
      <c r="J3" s="2">
        <v>150</v>
      </c>
      <c r="K3" s="2" t="s">
        <v>409</v>
      </c>
      <c r="M3" s="3" t="s">
        <v>385</v>
      </c>
      <c r="N3" s="2">
        <v>12</v>
      </c>
      <c r="O3" s="15">
        <v>12480.25</v>
      </c>
      <c r="P3" s="4">
        <v>1</v>
      </c>
    </row>
    <row r="4" spans="1:16" x14ac:dyDescent="0.25">
      <c r="A4" s="2">
        <v>31</v>
      </c>
      <c r="B4" s="2" t="s">
        <v>32</v>
      </c>
      <c r="C4" s="2" t="s">
        <v>398</v>
      </c>
      <c r="D4" s="2" t="s">
        <v>410</v>
      </c>
      <c r="E4" s="2">
        <v>0</v>
      </c>
      <c r="F4" s="2">
        <v>70</v>
      </c>
      <c r="G4" s="2">
        <v>20</v>
      </c>
      <c r="H4" s="27">
        <v>12.5</v>
      </c>
      <c r="I4" s="12">
        <v>0</v>
      </c>
      <c r="J4" s="2">
        <v>875</v>
      </c>
      <c r="K4" s="2" t="s">
        <v>411</v>
      </c>
      <c r="M4" s="3" t="s">
        <v>398</v>
      </c>
      <c r="N4" s="2">
        <v>10</v>
      </c>
      <c r="O4" s="15">
        <v>11271.2</v>
      </c>
      <c r="P4" s="4">
        <v>0</v>
      </c>
    </row>
    <row r="5" spans="1:16" x14ac:dyDescent="0.25">
      <c r="A5" s="2">
        <v>3</v>
      </c>
      <c r="B5" s="2" t="s">
        <v>77</v>
      </c>
      <c r="C5" s="2" t="s">
        <v>389</v>
      </c>
      <c r="D5" s="2" t="s">
        <v>388</v>
      </c>
      <c r="E5" s="2">
        <v>13</v>
      </c>
      <c r="F5" s="2">
        <v>70</v>
      </c>
      <c r="G5" s="2">
        <v>25</v>
      </c>
      <c r="H5" s="27">
        <v>10</v>
      </c>
      <c r="I5" s="12">
        <v>130</v>
      </c>
      <c r="J5" s="2">
        <v>700</v>
      </c>
      <c r="K5" s="2" t="s">
        <v>390</v>
      </c>
      <c r="M5" s="3" t="s">
        <v>397</v>
      </c>
      <c r="N5" s="2">
        <v>12</v>
      </c>
      <c r="O5" s="15">
        <v>13010.35</v>
      </c>
      <c r="P5" s="4">
        <v>1</v>
      </c>
    </row>
    <row r="6" spans="1:16" x14ac:dyDescent="0.25">
      <c r="A6" s="2">
        <v>4</v>
      </c>
      <c r="B6" s="2" t="s">
        <v>52</v>
      </c>
      <c r="C6" s="2" t="s">
        <v>389</v>
      </c>
      <c r="D6" s="2" t="s">
        <v>391</v>
      </c>
      <c r="E6" s="2">
        <v>53</v>
      </c>
      <c r="F6" s="2">
        <v>0</v>
      </c>
      <c r="G6" s="2">
        <v>0</v>
      </c>
      <c r="H6" s="27">
        <v>22</v>
      </c>
      <c r="I6" s="12">
        <v>1166</v>
      </c>
      <c r="J6" s="2">
        <v>0</v>
      </c>
      <c r="K6" s="2" t="s">
        <v>390</v>
      </c>
      <c r="M6" s="3" t="s">
        <v>393</v>
      </c>
      <c r="N6" s="2">
        <v>5</v>
      </c>
      <c r="O6" s="15">
        <v>3549.35</v>
      </c>
      <c r="P6" s="4">
        <v>0</v>
      </c>
    </row>
    <row r="7" spans="1:16" x14ac:dyDescent="0.25">
      <c r="A7" s="2">
        <v>6</v>
      </c>
      <c r="B7" s="2" t="s">
        <v>58</v>
      </c>
      <c r="C7" s="2" t="s">
        <v>389</v>
      </c>
      <c r="D7" s="2" t="s">
        <v>392</v>
      </c>
      <c r="E7" s="2">
        <v>120</v>
      </c>
      <c r="F7" s="2">
        <v>0</v>
      </c>
      <c r="G7" s="2">
        <v>25</v>
      </c>
      <c r="H7" s="27">
        <v>25</v>
      </c>
      <c r="I7" s="12">
        <v>3000</v>
      </c>
      <c r="J7" s="2">
        <v>0</v>
      </c>
      <c r="K7" s="2" t="s">
        <v>390</v>
      </c>
      <c r="M7" s="3" t="s">
        <v>389</v>
      </c>
      <c r="N7" s="2">
        <v>12</v>
      </c>
      <c r="O7" s="15">
        <v>11926.05</v>
      </c>
      <c r="P7" s="4">
        <v>0</v>
      </c>
    </row>
    <row r="8" spans="1:16" x14ac:dyDescent="0.25">
      <c r="A8" s="2">
        <v>7</v>
      </c>
      <c r="B8" s="2" t="s">
        <v>18</v>
      </c>
      <c r="C8" s="2" t="s">
        <v>393</v>
      </c>
      <c r="D8" s="2" t="s">
        <v>392</v>
      </c>
      <c r="E8" s="2">
        <v>15</v>
      </c>
      <c r="F8" s="2">
        <v>0</v>
      </c>
      <c r="G8" s="2">
        <v>10</v>
      </c>
      <c r="H8" s="27">
        <v>30</v>
      </c>
      <c r="I8" s="12">
        <v>450</v>
      </c>
      <c r="J8" s="2">
        <v>0</v>
      </c>
      <c r="K8" s="2" t="s">
        <v>390</v>
      </c>
      <c r="M8" s="3" t="s">
        <v>394</v>
      </c>
      <c r="N8" s="2">
        <v>6</v>
      </c>
      <c r="O8" s="15">
        <v>5729.45</v>
      </c>
      <c r="P8" s="4">
        <v>0</v>
      </c>
    </row>
    <row r="9" spans="1:16" x14ac:dyDescent="0.25">
      <c r="A9" s="2">
        <v>8</v>
      </c>
      <c r="B9" s="2" t="s">
        <v>40</v>
      </c>
      <c r="C9" s="2" t="s">
        <v>389</v>
      </c>
      <c r="D9" s="2" t="s">
        <v>392</v>
      </c>
      <c r="E9" s="2">
        <v>6</v>
      </c>
      <c r="F9" s="2">
        <v>0</v>
      </c>
      <c r="G9" s="2">
        <v>0</v>
      </c>
      <c r="H9" s="27">
        <v>40</v>
      </c>
      <c r="I9" s="12">
        <v>240</v>
      </c>
      <c r="J9" s="2">
        <v>0</v>
      </c>
      <c r="K9" s="2" t="s">
        <v>390</v>
      </c>
      <c r="M9" s="5" t="s">
        <v>401</v>
      </c>
      <c r="N9" s="6">
        <v>13</v>
      </c>
      <c r="O9" s="17">
        <v>10392.200000000001</v>
      </c>
      <c r="P9" s="7">
        <v>0</v>
      </c>
    </row>
    <row r="10" spans="1:16" x14ac:dyDescent="0.25">
      <c r="A10" s="2">
        <v>10</v>
      </c>
      <c r="B10" s="2" t="s">
        <v>396</v>
      </c>
      <c r="C10" s="2" t="s">
        <v>397</v>
      </c>
      <c r="D10" s="2" t="s">
        <v>395</v>
      </c>
      <c r="E10" s="2">
        <v>31</v>
      </c>
      <c r="F10" s="2">
        <v>0</v>
      </c>
      <c r="G10" s="2">
        <v>0</v>
      </c>
      <c r="H10" s="27">
        <v>31</v>
      </c>
      <c r="I10" s="12">
        <v>961</v>
      </c>
      <c r="J10" s="2">
        <v>0</v>
      </c>
      <c r="K10" s="2" t="s">
        <v>390</v>
      </c>
      <c r="O10" s="10"/>
    </row>
    <row r="11" spans="1:16" x14ac:dyDescent="0.25">
      <c r="A11" s="2">
        <v>11</v>
      </c>
      <c r="B11" s="2" t="s">
        <v>38</v>
      </c>
      <c r="C11" s="2" t="s">
        <v>398</v>
      </c>
      <c r="D11" s="2" t="s">
        <v>399</v>
      </c>
      <c r="E11" s="2">
        <v>22</v>
      </c>
      <c r="F11" s="2">
        <v>30</v>
      </c>
      <c r="G11" s="2">
        <v>30</v>
      </c>
      <c r="H11" s="27">
        <v>21</v>
      </c>
      <c r="I11" s="12">
        <v>462</v>
      </c>
      <c r="J11" s="2">
        <v>630</v>
      </c>
      <c r="K11" s="2" t="s">
        <v>390</v>
      </c>
    </row>
    <row r="12" spans="1:16" x14ac:dyDescent="0.25">
      <c r="A12" s="2">
        <v>12</v>
      </c>
      <c r="B12" s="2" t="s">
        <v>43</v>
      </c>
      <c r="C12" s="2" t="s">
        <v>398</v>
      </c>
      <c r="D12" s="2" t="s">
        <v>399</v>
      </c>
      <c r="E12" s="2">
        <v>86</v>
      </c>
      <c r="F12" s="2">
        <v>0</v>
      </c>
      <c r="G12" s="2">
        <v>0</v>
      </c>
      <c r="H12" s="27">
        <v>38</v>
      </c>
      <c r="I12" s="12">
        <v>3268</v>
      </c>
      <c r="J12" s="2">
        <v>0</v>
      </c>
      <c r="K12" s="2" t="s">
        <v>390</v>
      </c>
    </row>
    <row r="13" spans="1:16" x14ac:dyDescent="0.25">
      <c r="A13" s="2">
        <v>13</v>
      </c>
      <c r="B13" s="2" t="s">
        <v>66</v>
      </c>
      <c r="C13" s="2" t="s">
        <v>397</v>
      </c>
      <c r="D13" s="2" t="s">
        <v>400</v>
      </c>
      <c r="E13" s="2">
        <v>24</v>
      </c>
      <c r="F13" s="2">
        <v>0</v>
      </c>
      <c r="G13" s="2">
        <v>5</v>
      </c>
      <c r="H13" s="27">
        <v>6</v>
      </c>
      <c r="I13" s="12">
        <v>144</v>
      </c>
      <c r="J13" s="2">
        <v>0</v>
      </c>
      <c r="K13" s="2" t="s">
        <v>390</v>
      </c>
    </row>
    <row r="14" spans="1:16" x14ac:dyDescent="0.25">
      <c r="A14" s="2">
        <v>14</v>
      </c>
      <c r="B14" s="2" t="s">
        <v>55</v>
      </c>
      <c r="C14" s="2" t="s">
        <v>393</v>
      </c>
      <c r="D14" s="2" t="s">
        <v>400</v>
      </c>
      <c r="E14" s="2">
        <v>35</v>
      </c>
      <c r="F14" s="2">
        <v>0</v>
      </c>
      <c r="G14" s="2">
        <v>0</v>
      </c>
      <c r="H14" s="27">
        <v>23.25</v>
      </c>
      <c r="I14" s="12">
        <v>813.75</v>
      </c>
      <c r="J14" s="2">
        <v>0</v>
      </c>
      <c r="K14" s="2" t="s">
        <v>390</v>
      </c>
    </row>
    <row r="15" spans="1:16" x14ac:dyDescent="0.25">
      <c r="A15" s="2">
        <v>15</v>
      </c>
      <c r="B15" s="2" t="s">
        <v>81</v>
      </c>
      <c r="C15" s="2" t="s">
        <v>389</v>
      </c>
      <c r="D15" s="2" t="s">
        <v>400</v>
      </c>
      <c r="E15" s="2">
        <v>39</v>
      </c>
      <c r="F15" s="2">
        <v>0</v>
      </c>
      <c r="G15" s="2">
        <v>5</v>
      </c>
      <c r="H15" s="27">
        <v>13</v>
      </c>
      <c r="I15" s="12">
        <v>507</v>
      </c>
      <c r="J15" s="2">
        <v>0</v>
      </c>
      <c r="K15" s="2" t="s">
        <v>390</v>
      </c>
    </row>
    <row r="16" spans="1:16" x14ac:dyDescent="0.25">
      <c r="A16" s="2">
        <v>16</v>
      </c>
      <c r="B16" s="2" t="s">
        <v>27</v>
      </c>
      <c r="C16" s="2" t="s">
        <v>401</v>
      </c>
      <c r="D16" s="2" t="s">
        <v>402</v>
      </c>
      <c r="E16" s="2">
        <v>29</v>
      </c>
      <c r="F16" s="2">
        <v>0</v>
      </c>
      <c r="G16" s="2">
        <v>10</v>
      </c>
      <c r="H16" s="27">
        <v>17.45</v>
      </c>
      <c r="I16" s="12">
        <v>506.05</v>
      </c>
      <c r="J16" s="2">
        <v>0</v>
      </c>
      <c r="K16" s="2" t="s">
        <v>390</v>
      </c>
    </row>
    <row r="17" spans="1:11" x14ac:dyDescent="0.25">
      <c r="A17" s="2">
        <v>18</v>
      </c>
      <c r="B17" s="2" t="s">
        <v>13</v>
      </c>
      <c r="C17" s="2" t="s">
        <v>397</v>
      </c>
      <c r="D17" s="2" t="s">
        <v>402</v>
      </c>
      <c r="E17" s="2">
        <v>42</v>
      </c>
      <c r="F17" s="2">
        <v>0</v>
      </c>
      <c r="G17" s="2">
        <v>0</v>
      </c>
      <c r="H17" s="27">
        <v>62.5</v>
      </c>
      <c r="I17" s="12">
        <v>2625</v>
      </c>
      <c r="J17" s="2">
        <v>0</v>
      </c>
      <c r="K17" s="2" t="s">
        <v>390</v>
      </c>
    </row>
    <row r="18" spans="1:11" x14ac:dyDescent="0.25">
      <c r="A18" s="2">
        <v>19</v>
      </c>
      <c r="B18" s="2" t="s">
        <v>63</v>
      </c>
      <c r="C18" s="2" t="s">
        <v>401</v>
      </c>
      <c r="D18" s="2" t="s">
        <v>386</v>
      </c>
      <c r="E18" s="2">
        <v>25</v>
      </c>
      <c r="F18" s="2">
        <v>0</v>
      </c>
      <c r="G18" s="2">
        <v>5</v>
      </c>
      <c r="H18" s="27">
        <v>9.1999999999999993</v>
      </c>
      <c r="I18" s="12">
        <v>230</v>
      </c>
      <c r="J18" s="2">
        <v>0</v>
      </c>
      <c r="K18" s="2" t="s">
        <v>390</v>
      </c>
    </row>
    <row r="19" spans="1:11" x14ac:dyDescent="0.25">
      <c r="A19" s="2">
        <v>20</v>
      </c>
      <c r="B19" s="2" t="s">
        <v>17</v>
      </c>
      <c r="C19" s="2" t="s">
        <v>401</v>
      </c>
      <c r="D19" s="2" t="s">
        <v>386</v>
      </c>
      <c r="E19" s="2">
        <v>40</v>
      </c>
      <c r="F19" s="2">
        <v>0</v>
      </c>
      <c r="G19" s="2">
        <v>0</v>
      </c>
      <c r="H19" s="27">
        <v>81</v>
      </c>
      <c r="I19" s="12">
        <v>3240</v>
      </c>
      <c r="J19" s="2">
        <v>0</v>
      </c>
      <c r="K19" s="2" t="s">
        <v>390</v>
      </c>
    </row>
    <row r="20" spans="1:11" x14ac:dyDescent="0.25">
      <c r="A20" s="2">
        <v>21</v>
      </c>
      <c r="B20" s="2" t="s">
        <v>48</v>
      </c>
      <c r="C20" s="2" t="s">
        <v>401</v>
      </c>
      <c r="D20" s="2" t="s">
        <v>386</v>
      </c>
      <c r="E20" s="2">
        <v>3</v>
      </c>
      <c r="F20" s="2">
        <v>40</v>
      </c>
      <c r="G20" s="2">
        <v>5</v>
      </c>
      <c r="H20" s="27">
        <v>10</v>
      </c>
      <c r="I20" s="12">
        <v>30</v>
      </c>
      <c r="J20" s="2">
        <v>400</v>
      </c>
      <c r="K20" s="2" t="s">
        <v>390</v>
      </c>
    </row>
    <row r="21" spans="1:11" x14ac:dyDescent="0.25">
      <c r="A21" s="2">
        <v>22</v>
      </c>
      <c r="B21" s="2" t="s">
        <v>59</v>
      </c>
      <c r="C21" s="2" t="s">
        <v>403</v>
      </c>
      <c r="D21" s="2" t="s">
        <v>404</v>
      </c>
      <c r="E21" s="2">
        <v>104</v>
      </c>
      <c r="F21" s="2">
        <v>0</v>
      </c>
      <c r="G21" s="2">
        <v>25</v>
      </c>
      <c r="H21" s="27">
        <v>21</v>
      </c>
      <c r="I21" s="12">
        <v>2184</v>
      </c>
      <c r="J21" s="2">
        <v>0</v>
      </c>
      <c r="K21" s="2" t="s">
        <v>390</v>
      </c>
    </row>
    <row r="22" spans="1:11" x14ac:dyDescent="0.25">
      <c r="A22" s="2">
        <v>23</v>
      </c>
      <c r="B22" s="2" t="s">
        <v>68</v>
      </c>
      <c r="C22" s="2" t="s">
        <v>403</v>
      </c>
      <c r="D22" s="2" t="s">
        <v>404</v>
      </c>
      <c r="E22" s="2">
        <v>61</v>
      </c>
      <c r="F22" s="2">
        <v>0</v>
      </c>
      <c r="G22" s="2">
        <v>25</v>
      </c>
      <c r="H22" s="27">
        <v>9</v>
      </c>
      <c r="I22" s="12">
        <v>549</v>
      </c>
      <c r="J22" s="2">
        <v>0</v>
      </c>
      <c r="K22" s="2" t="s">
        <v>390</v>
      </c>
    </row>
    <row r="23" spans="1:11" x14ac:dyDescent="0.25">
      <c r="A23" s="2">
        <v>25</v>
      </c>
      <c r="B23" s="2" t="s">
        <v>73</v>
      </c>
      <c r="C23" s="2" t="s">
        <v>401</v>
      </c>
      <c r="D23" s="2" t="s">
        <v>406</v>
      </c>
      <c r="E23" s="2">
        <v>76</v>
      </c>
      <c r="F23" s="2">
        <v>0</v>
      </c>
      <c r="G23" s="2">
        <v>30</v>
      </c>
      <c r="H23" s="27">
        <v>14</v>
      </c>
      <c r="I23" s="12">
        <v>1064</v>
      </c>
      <c r="J23" s="2">
        <v>0</v>
      </c>
      <c r="K23" s="2" t="s">
        <v>390</v>
      </c>
    </row>
    <row r="24" spans="1:11" x14ac:dyDescent="0.25">
      <c r="A24" s="2">
        <v>26</v>
      </c>
      <c r="B24" s="2" t="s">
        <v>23</v>
      </c>
      <c r="C24" s="2" t="s">
        <v>401</v>
      </c>
      <c r="D24" s="2" t="s">
        <v>406</v>
      </c>
      <c r="E24" s="2">
        <v>15</v>
      </c>
      <c r="F24" s="2">
        <v>0</v>
      </c>
      <c r="G24" s="2">
        <v>0</v>
      </c>
      <c r="H24" s="27">
        <v>31.23</v>
      </c>
      <c r="I24" s="12">
        <v>468.45</v>
      </c>
      <c r="J24" s="2">
        <v>0</v>
      </c>
      <c r="K24" s="2" t="s">
        <v>390</v>
      </c>
    </row>
    <row r="25" spans="1:11" x14ac:dyDescent="0.25">
      <c r="A25" s="2">
        <v>27</v>
      </c>
      <c r="B25" s="2" t="s">
        <v>31</v>
      </c>
      <c r="C25" s="2" t="s">
        <v>401</v>
      </c>
      <c r="D25" s="2" t="s">
        <v>406</v>
      </c>
      <c r="E25" s="2">
        <v>49</v>
      </c>
      <c r="F25" s="2">
        <v>0</v>
      </c>
      <c r="G25" s="2">
        <v>30</v>
      </c>
      <c r="H25" s="27">
        <v>43.9</v>
      </c>
      <c r="I25" s="12">
        <v>2151.1</v>
      </c>
      <c r="J25" s="2">
        <v>0</v>
      </c>
      <c r="K25" s="2" t="s">
        <v>390</v>
      </c>
    </row>
    <row r="26" spans="1:11" x14ac:dyDescent="0.25">
      <c r="A26" s="2">
        <v>32</v>
      </c>
      <c r="B26" s="2" t="s">
        <v>53</v>
      </c>
      <c r="C26" s="2" t="s">
        <v>398</v>
      </c>
      <c r="D26" s="2" t="s">
        <v>410</v>
      </c>
      <c r="E26" s="2">
        <v>9</v>
      </c>
      <c r="F26" s="2">
        <v>40</v>
      </c>
      <c r="G26" s="2">
        <v>25</v>
      </c>
      <c r="H26" s="27">
        <v>32</v>
      </c>
      <c r="I26" s="12">
        <v>288</v>
      </c>
      <c r="J26" s="2">
        <v>1280</v>
      </c>
      <c r="K26" s="2" t="s">
        <v>390</v>
      </c>
    </row>
    <row r="27" spans="1:11" x14ac:dyDescent="0.25">
      <c r="A27" s="2">
        <v>33</v>
      </c>
      <c r="B27" s="2" t="s">
        <v>82</v>
      </c>
      <c r="C27" s="2" t="s">
        <v>398</v>
      </c>
      <c r="D27" s="2" t="s">
        <v>412</v>
      </c>
      <c r="E27" s="2">
        <v>112</v>
      </c>
      <c r="F27" s="2">
        <v>0</v>
      </c>
      <c r="G27" s="2">
        <v>20</v>
      </c>
      <c r="H27" s="27">
        <v>2.5</v>
      </c>
      <c r="I27" s="12">
        <v>280</v>
      </c>
      <c r="J27" s="2">
        <v>0</v>
      </c>
      <c r="K27" s="2" t="s">
        <v>390</v>
      </c>
    </row>
    <row r="28" spans="1:11" x14ac:dyDescent="0.25">
      <c r="A28" s="2">
        <v>34</v>
      </c>
      <c r="B28" s="2" t="s">
        <v>60</v>
      </c>
      <c r="C28" s="2" t="s">
        <v>385</v>
      </c>
      <c r="D28" s="2" t="s">
        <v>413</v>
      </c>
      <c r="E28" s="2">
        <v>111</v>
      </c>
      <c r="F28" s="2">
        <v>0</v>
      </c>
      <c r="G28" s="2">
        <v>15</v>
      </c>
      <c r="H28" s="27">
        <v>14</v>
      </c>
      <c r="I28" s="12">
        <v>1554</v>
      </c>
      <c r="J28" s="2">
        <v>0</v>
      </c>
      <c r="K28" s="2" t="s">
        <v>390</v>
      </c>
    </row>
    <row r="29" spans="1:11" x14ac:dyDescent="0.25">
      <c r="A29" s="2">
        <v>35</v>
      </c>
      <c r="B29" s="2" t="s">
        <v>35</v>
      </c>
      <c r="C29" s="2" t="s">
        <v>385</v>
      </c>
      <c r="D29" s="2" t="s">
        <v>413</v>
      </c>
      <c r="E29" s="2">
        <v>20</v>
      </c>
      <c r="F29" s="2">
        <v>0</v>
      </c>
      <c r="G29" s="2">
        <v>15</v>
      </c>
      <c r="H29" s="27">
        <v>18</v>
      </c>
      <c r="I29" s="12">
        <v>360</v>
      </c>
      <c r="J29" s="2">
        <v>0</v>
      </c>
      <c r="K29" s="2" t="s">
        <v>390</v>
      </c>
    </row>
    <row r="30" spans="1:11" x14ac:dyDescent="0.25">
      <c r="A30" s="2">
        <v>36</v>
      </c>
      <c r="B30" s="2" t="s">
        <v>36</v>
      </c>
      <c r="C30" s="2" t="s">
        <v>397</v>
      </c>
      <c r="D30" s="2" t="s">
        <v>414</v>
      </c>
      <c r="E30" s="2">
        <v>112</v>
      </c>
      <c r="F30" s="2">
        <v>0</v>
      </c>
      <c r="G30" s="2">
        <v>20</v>
      </c>
      <c r="H30" s="27">
        <v>19</v>
      </c>
      <c r="I30" s="12">
        <v>2128</v>
      </c>
      <c r="J30" s="2">
        <v>0</v>
      </c>
      <c r="K30" s="2" t="s">
        <v>390</v>
      </c>
    </row>
    <row r="31" spans="1:11" x14ac:dyDescent="0.25">
      <c r="A31" s="2">
        <v>37</v>
      </c>
      <c r="B31" s="2" t="s">
        <v>78</v>
      </c>
      <c r="C31" s="2" t="s">
        <v>397</v>
      </c>
      <c r="D31" s="2" t="s">
        <v>414</v>
      </c>
      <c r="E31" s="2">
        <v>11</v>
      </c>
      <c r="F31" s="2">
        <v>50</v>
      </c>
      <c r="G31" s="2">
        <v>25</v>
      </c>
      <c r="H31" s="27">
        <v>26</v>
      </c>
      <c r="I31" s="12">
        <v>286</v>
      </c>
      <c r="J31" s="2">
        <v>1300</v>
      </c>
      <c r="K31" s="2" t="s">
        <v>390</v>
      </c>
    </row>
    <row r="32" spans="1:11" x14ac:dyDescent="0.25">
      <c r="A32" s="2">
        <v>38</v>
      </c>
      <c r="B32" s="2" t="s">
        <v>4</v>
      </c>
      <c r="C32" s="2" t="s">
        <v>385</v>
      </c>
      <c r="D32" s="2" t="s">
        <v>415</v>
      </c>
      <c r="E32" s="2">
        <v>17</v>
      </c>
      <c r="F32" s="2">
        <v>0</v>
      </c>
      <c r="G32" s="2">
        <v>15</v>
      </c>
      <c r="H32" s="27">
        <v>263.5</v>
      </c>
      <c r="I32" s="12">
        <v>4479.5</v>
      </c>
      <c r="J32" s="2">
        <v>0</v>
      </c>
      <c r="K32" s="2" t="s">
        <v>390</v>
      </c>
    </row>
    <row r="33" spans="1:11" x14ac:dyDescent="0.25">
      <c r="A33" s="2">
        <v>39</v>
      </c>
      <c r="B33" s="2" t="s">
        <v>42</v>
      </c>
      <c r="C33" s="2" t="s">
        <v>385</v>
      </c>
      <c r="D33" s="2" t="s">
        <v>415</v>
      </c>
      <c r="E33" s="2">
        <v>69</v>
      </c>
      <c r="F33" s="2">
        <v>0</v>
      </c>
      <c r="G33" s="2">
        <v>5</v>
      </c>
      <c r="H33" s="27">
        <v>18</v>
      </c>
      <c r="I33" s="12">
        <v>1242</v>
      </c>
      <c r="J33" s="2">
        <v>0</v>
      </c>
      <c r="K33" s="2" t="s">
        <v>390</v>
      </c>
    </row>
    <row r="34" spans="1:11" x14ac:dyDescent="0.25">
      <c r="A34" s="2">
        <v>40</v>
      </c>
      <c r="B34" s="2" t="s">
        <v>25</v>
      </c>
      <c r="C34" s="2" t="s">
        <v>397</v>
      </c>
      <c r="D34" s="2" t="s">
        <v>416</v>
      </c>
      <c r="E34" s="2">
        <v>123</v>
      </c>
      <c r="F34" s="2">
        <v>0</v>
      </c>
      <c r="G34" s="2">
        <v>30</v>
      </c>
      <c r="H34" s="27">
        <v>18.399999999999999</v>
      </c>
      <c r="I34" s="12">
        <v>2263.1999999999998</v>
      </c>
      <c r="J34" s="2">
        <v>0</v>
      </c>
      <c r="K34" s="2" t="s">
        <v>390</v>
      </c>
    </row>
    <row r="35" spans="1:11" x14ac:dyDescent="0.25">
      <c r="A35" s="2">
        <v>41</v>
      </c>
      <c r="B35" s="2" t="s">
        <v>50</v>
      </c>
      <c r="C35" s="2" t="s">
        <v>397</v>
      </c>
      <c r="D35" s="2" t="s">
        <v>416</v>
      </c>
      <c r="E35" s="2">
        <v>85</v>
      </c>
      <c r="F35" s="2">
        <v>0</v>
      </c>
      <c r="G35" s="2">
        <v>10</v>
      </c>
      <c r="H35" s="27">
        <v>9.65</v>
      </c>
      <c r="I35" s="12">
        <v>820.25</v>
      </c>
      <c r="J35" s="2">
        <v>0</v>
      </c>
      <c r="K35" s="2" t="s">
        <v>390</v>
      </c>
    </row>
    <row r="36" spans="1:11" x14ac:dyDescent="0.25">
      <c r="A36" s="2">
        <v>43</v>
      </c>
      <c r="B36" s="2" t="s">
        <v>16</v>
      </c>
      <c r="C36" s="2" t="s">
        <v>385</v>
      </c>
      <c r="D36" s="2" t="s">
        <v>417</v>
      </c>
      <c r="E36" s="2">
        <v>17</v>
      </c>
      <c r="F36" s="2">
        <v>10</v>
      </c>
      <c r="G36" s="2">
        <v>25</v>
      </c>
      <c r="H36" s="27">
        <v>46</v>
      </c>
      <c r="I36" s="12">
        <v>782</v>
      </c>
      <c r="J36" s="2">
        <v>460</v>
      </c>
      <c r="K36" s="2" t="s">
        <v>390</v>
      </c>
    </row>
    <row r="37" spans="1:11" x14ac:dyDescent="0.25">
      <c r="A37" s="2">
        <v>44</v>
      </c>
      <c r="B37" s="2" t="s">
        <v>45</v>
      </c>
      <c r="C37" s="2" t="s">
        <v>389</v>
      </c>
      <c r="D37" s="2" t="s">
        <v>417</v>
      </c>
      <c r="E37" s="2">
        <v>27</v>
      </c>
      <c r="F37" s="2">
        <v>0</v>
      </c>
      <c r="G37" s="2">
        <v>15</v>
      </c>
      <c r="H37" s="27">
        <v>19.45</v>
      </c>
      <c r="I37" s="12">
        <v>525.15</v>
      </c>
      <c r="J37" s="2">
        <v>0</v>
      </c>
      <c r="K37" s="2" t="s">
        <v>390</v>
      </c>
    </row>
    <row r="38" spans="1:11" x14ac:dyDescent="0.25">
      <c r="A38" s="2">
        <v>45</v>
      </c>
      <c r="B38" s="2" t="s">
        <v>70</v>
      </c>
      <c r="C38" s="2" t="s">
        <v>397</v>
      </c>
      <c r="D38" s="2" t="s">
        <v>418</v>
      </c>
      <c r="E38" s="2">
        <v>5</v>
      </c>
      <c r="F38" s="2">
        <v>70</v>
      </c>
      <c r="G38" s="2">
        <v>15</v>
      </c>
      <c r="H38" s="27">
        <v>9.5</v>
      </c>
      <c r="I38" s="12">
        <v>47.5</v>
      </c>
      <c r="J38" s="2">
        <v>665</v>
      </c>
      <c r="K38" s="2" t="s">
        <v>390</v>
      </c>
    </row>
    <row r="39" spans="1:11" x14ac:dyDescent="0.25">
      <c r="A39" s="2">
        <v>46</v>
      </c>
      <c r="B39" s="2" t="s">
        <v>61</v>
      </c>
      <c r="C39" s="2" t="s">
        <v>397</v>
      </c>
      <c r="D39" s="2" t="s">
        <v>418</v>
      </c>
      <c r="E39" s="2">
        <v>95</v>
      </c>
      <c r="F39" s="2">
        <v>0</v>
      </c>
      <c r="G39" s="2">
        <v>0</v>
      </c>
      <c r="H39" s="27">
        <v>12</v>
      </c>
      <c r="I39" s="12">
        <v>1140</v>
      </c>
      <c r="J39" s="2">
        <v>0</v>
      </c>
      <c r="K39" s="2" t="s">
        <v>390</v>
      </c>
    </row>
    <row r="40" spans="1:11" x14ac:dyDescent="0.25">
      <c r="A40" s="2">
        <v>47</v>
      </c>
      <c r="B40" s="2" t="s">
        <v>72</v>
      </c>
      <c r="C40" s="2" t="s">
        <v>401</v>
      </c>
      <c r="D40" s="2" t="s">
        <v>419</v>
      </c>
      <c r="E40" s="2">
        <v>36</v>
      </c>
      <c r="F40" s="2">
        <v>0</v>
      </c>
      <c r="G40" s="2">
        <v>0</v>
      </c>
      <c r="H40" s="27">
        <v>9.5</v>
      </c>
      <c r="I40" s="12">
        <v>342</v>
      </c>
      <c r="J40" s="2">
        <v>0</v>
      </c>
      <c r="K40" s="2" t="s">
        <v>390</v>
      </c>
    </row>
    <row r="41" spans="1:11" x14ac:dyDescent="0.25">
      <c r="A41" s="2">
        <v>48</v>
      </c>
      <c r="B41" s="2" t="s">
        <v>83</v>
      </c>
      <c r="C41" s="2" t="s">
        <v>401</v>
      </c>
      <c r="D41" s="2" t="s">
        <v>419</v>
      </c>
      <c r="E41" s="2">
        <v>15</v>
      </c>
      <c r="F41" s="2">
        <v>70</v>
      </c>
      <c r="G41" s="2">
        <v>25</v>
      </c>
      <c r="H41" s="27">
        <v>12.75</v>
      </c>
      <c r="I41" s="12">
        <v>191.25</v>
      </c>
      <c r="J41" s="2">
        <v>892.5</v>
      </c>
      <c r="K41" s="2" t="s">
        <v>390</v>
      </c>
    </row>
    <row r="42" spans="1:11" x14ac:dyDescent="0.25">
      <c r="A42" s="2">
        <v>49</v>
      </c>
      <c r="B42" s="2" t="s">
        <v>46</v>
      </c>
      <c r="C42" s="2" t="s">
        <v>401</v>
      </c>
      <c r="D42" s="2" t="s">
        <v>420</v>
      </c>
      <c r="E42" s="2">
        <v>10</v>
      </c>
      <c r="F42" s="2">
        <v>60</v>
      </c>
      <c r="G42" s="2">
        <v>15</v>
      </c>
      <c r="H42" s="27">
        <v>20</v>
      </c>
      <c r="I42" s="12">
        <v>200</v>
      </c>
      <c r="J42" s="2">
        <v>1200</v>
      </c>
      <c r="K42" s="2" t="s">
        <v>390</v>
      </c>
    </row>
    <row r="43" spans="1:11" x14ac:dyDescent="0.25">
      <c r="A43" s="2">
        <v>50</v>
      </c>
      <c r="B43" s="2" t="s">
        <v>74</v>
      </c>
      <c r="C43" s="2" t="s">
        <v>401</v>
      </c>
      <c r="D43" s="2" t="s">
        <v>420</v>
      </c>
      <c r="E43" s="2">
        <v>65</v>
      </c>
      <c r="F43" s="2">
        <v>0</v>
      </c>
      <c r="G43" s="2">
        <v>30</v>
      </c>
      <c r="H43" s="27">
        <v>16.25</v>
      </c>
      <c r="I43" s="12">
        <v>1056.25</v>
      </c>
      <c r="J43" s="2">
        <v>0</v>
      </c>
      <c r="K43" s="2" t="s">
        <v>390</v>
      </c>
    </row>
    <row r="44" spans="1:11" x14ac:dyDescent="0.25">
      <c r="A44" s="2">
        <v>51</v>
      </c>
      <c r="B44" s="2" t="s">
        <v>11</v>
      </c>
      <c r="C44" s="2" t="s">
        <v>393</v>
      </c>
      <c r="D44" s="2" t="s">
        <v>421</v>
      </c>
      <c r="E44" s="2">
        <v>20</v>
      </c>
      <c r="F44" s="2">
        <v>0</v>
      </c>
      <c r="G44" s="2">
        <v>10</v>
      </c>
      <c r="H44" s="27">
        <v>53</v>
      </c>
      <c r="I44" s="12">
        <v>1060</v>
      </c>
      <c r="J44" s="2">
        <v>0</v>
      </c>
      <c r="K44" s="2" t="s">
        <v>390</v>
      </c>
    </row>
    <row r="45" spans="1:11" x14ac:dyDescent="0.25">
      <c r="A45" s="2">
        <v>52</v>
      </c>
      <c r="B45" s="2" t="s">
        <v>76</v>
      </c>
      <c r="C45" s="2" t="s">
        <v>403</v>
      </c>
      <c r="D45" s="2" t="s">
        <v>421</v>
      </c>
      <c r="E45" s="2">
        <v>38</v>
      </c>
      <c r="F45" s="2">
        <v>0</v>
      </c>
      <c r="G45" s="2">
        <v>25</v>
      </c>
      <c r="H45" s="27">
        <v>7</v>
      </c>
      <c r="I45" s="12">
        <v>266</v>
      </c>
      <c r="J45" s="2">
        <v>0</v>
      </c>
      <c r="K45" s="2" t="s">
        <v>390</v>
      </c>
    </row>
    <row r="46" spans="1:11" x14ac:dyDescent="0.25">
      <c r="A46" s="2">
        <v>54</v>
      </c>
      <c r="B46" s="2" t="s">
        <v>67</v>
      </c>
      <c r="C46" s="2" t="s">
        <v>394</v>
      </c>
      <c r="D46" s="2" t="s">
        <v>422</v>
      </c>
      <c r="E46" s="2">
        <v>21</v>
      </c>
      <c r="F46" s="2">
        <v>0</v>
      </c>
      <c r="G46" s="2">
        <v>10</v>
      </c>
      <c r="H46" s="27">
        <v>7.45</v>
      </c>
      <c r="I46" s="12">
        <v>156.44999999999999</v>
      </c>
      <c r="J46" s="2">
        <v>0</v>
      </c>
      <c r="K46" s="2" t="s">
        <v>390</v>
      </c>
    </row>
    <row r="47" spans="1:11" x14ac:dyDescent="0.25">
      <c r="A47" s="2">
        <v>55</v>
      </c>
      <c r="B47" s="2" t="s">
        <v>26</v>
      </c>
      <c r="C47" s="2" t="s">
        <v>394</v>
      </c>
      <c r="D47" s="2" t="s">
        <v>422</v>
      </c>
      <c r="E47" s="2">
        <v>115</v>
      </c>
      <c r="F47" s="2">
        <v>0</v>
      </c>
      <c r="G47" s="2">
        <v>20</v>
      </c>
      <c r="H47" s="27">
        <v>24</v>
      </c>
      <c r="I47" s="12">
        <v>2760</v>
      </c>
      <c r="J47" s="2">
        <v>0</v>
      </c>
      <c r="K47" s="2" t="s">
        <v>390</v>
      </c>
    </row>
    <row r="48" spans="1:11" x14ac:dyDescent="0.25">
      <c r="A48" s="2">
        <v>56</v>
      </c>
      <c r="B48" s="2" t="s">
        <v>10</v>
      </c>
      <c r="C48" s="2" t="s">
        <v>403</v>
      </c>
      <c r="D48" s="2" t="s">
        <v>423</v>
      </c>
      <c r="E48" s="2">
        <v>21</v>
      </c>
      <c r="F48" s="2">
        <v>10</v>
      </c>
      <c r="G48" s="2">
        <v>30</v>
      </c>
      <c r="H48" s="27">
        <v>38</v>
      </c>
      <c r="I48" s="12">
        <v>798</v>
      </c>
      <c r="J48" s="2">
        <v>380</v>
      </c>
      <c r="K48" s="2" t="s">
        <v>390</v>
      </c>
    </row>
    <row r="49" spans="1:11" x14ac:dyDescent="0.25">
      <c r="A49" s="2">
        <v>57</v>
      </c>
      <c r="B49" s="2" t="s">
        <v>56</v>
      </c>
      <c r="C49" s="2" t="s">
        <v>403</v>
      </c>
      <c r="D49" s="2" t="s">
        <v>423</v>
      </c>
      <c r="E49" s="2">
        <v>36</v>
      </c>
      <c r="F49" s="2">
        <v>0</v>
      </c>
      <c r="G49" s="2">
        <v>20</v>
      </c>
      <c r="H49" s="27">
        <v>19.5</v>
      </c>
      <c r="I49" s="12">
        <v>702</v>
      </c>
      <c r="J49" s="2">
        <v>0</v>
      </c>
      <c r="K49" s="2" t="s">
        <v>390</v>
      </c>
    </row>
    <row r="50" spans="1:11" x14ac:dyDescent="0.25">
      <c r="A50" s="2">
        <v>58</v>
      </c>
      <c r="B50" s="2" t="s">
        <v>62</v>
      </c>
      <c r="C50" s="2" t="s">
        <v>397</v>
      </c>
      <c r="D50" s="2" t="s">
        <v>424</v>
      </c>
      <c r="E50" s="2">
        <v>62</v>
      </c>
      <c r="F50" s="2">
        <v>0</v>
      </c>
      <c r="G50" s="2">
        <v>20</v>
      </c>
      <c r="H50" s="27">
        <v>13.25</v>
      </c>
      <c r="I50" s="12">
        <v>821.5</v>
      </c>
      <c r="J50" s="2">
        <v>0</v>
      </c>
      <c r="K50" s="2" t="s">
        <v>390</v>
      </c>
    </row>
    <row r="51" spans="1:11" x14ac:dyDescent="0.25">
      <c r="A51" s="2">
        <v>59</v>
      </c>
      <c r="B51" s="2" t="s">
        <v>7</v>
      </c>
      <c r="C51" s="2" t="s">
        <v>398</v>
      </c>
      <c r="D51" s="2" t="s">
        <v>425</v>
      </c>
      <c r="E51" s="2">
        <v>79</v>
      </c>
      <c r="F51" s="2">
        <v>0</v>
      </c>
      <c r="G51" s="2">
        <v>0</v>
      </c>
      <c r="H51" s="27">
        <v>55</v>
      </c>
      <c r="I51" s="12">
        <v>4345</v>
      </c>
      <c r="J51" s="2">
        <v>0</v>
      </c>
      <c r="K51" s="2" t="s">
        <v>390</v>
      </c>
    </row>
    <row r="52" spans="1:11" x14ac:dyDescent="0.25">
      <c r="A52" s="2">
        <v>60</v>
      </c>
      <c r="B52" s="2" t="s">
        <v>9</v>
      </c>
      <c r="C52" s="2" t="s">
        <v>398</v>
      </c>
      <c r="D52" s="2" t="s">
        <v>425</v>
      </c>
      <c r="E52" s="2">
        <v>19</v>
      </c>
      <c r="F52" s="2">
        <v>0</v>
      </c>
      <c r="G52" s="2">
        <v>0</v>
      </c>
      <c r="H52" s="27">
        <v>34</v>
      </c>
      <c r="I52" s="12">
        <v>646</v>
      </c>
      <c r="J52" s="2">
        <v>0</v>
      </c>
      <c r="K52" s="2" t="s">
        <v>390</v>
      </c>
    </row>
    <row r="53" spans="1:11" x14ac:dyDescent="0.25">
      <c r="A53" s="2">
        <v>61</v>
      </c>
      <c r="B53" s="2" t="s">
        <v>33</v>
      </c>
      <c r="C53" s="2" t="s">
        <v>389</v>
      </c>
      <c r="D53" s="2" t="s">
        <v>426</v>
      </c>
      <c r="E53" s="2">
        <v>113</v>
      </c>
      <c r="F53" s="2">
        <v>0</v>
      </c>
      <c r="G53" s="2">
        <v>25</v>
      </c>
      <c r="H53" s="27">
        <v>28.5</v>
      </c>
      <c r="I53" s="12">
        <v>3220.5</v>
      </c>
      <c r="J53" s="2">
        <v>0</v>
      </c>
      <c r="K53" s="2" t="s">
        <v>390</v>
      </c>
    </row>
    <row r="54" spans="1:11" x14ac:dyDescent="0.25">
      <c r="A54" s="2">
        <v>62</v>
      </c>
      <c r="B54" s="2" t="s">
        <v>8</v>
      </c>
      <c r="C54" s="2" t="s">
        <v>401</v>
      </c>
      <c r="D54" s="2" t="s">
        <v>426</v>
      </c>
      <c r="E54" s="2">
        <v>17</v>
      </c>
      <c r="F54" s="2">
        <v>0</v>
      </c>
      <c r="G54" s="2">
        <v>0</v>
      </c>
      <c r="H54" s="27">
        <v>49.3</v>
      </c>
      <c r="I54" s="12">
        <v>838.1</v>
      </c>
      <c r="J54" s="2">
        <v>0</v>
      </c>
      <c r="K54" s="2" t="s">
        <v>390</v>
      </c>
    </row>
    <row r="55" spans="1:11" x14ac:dyDescent="0.25">
      <c r="A55" s="2">
        <v>63</v>
      </c>
      <c r="B55" s="2" t="s">
        <v>28</v>
      </c>
      <c r="C55" s="2" t="s">
        <v>389</v>
      </c>
      <c r="D55" s="2" t="s">
        <v>402</v>
      </c>
      <c r="E55" s="2">
        <v>24</v>
      </c>
      <c r="F55" s="2">
        <v>0</v>
      </c>
      <c r="G55" s="2">
        <v>5</v>
      </c>
      <c r="H55" s="27">
        <v>43.9</v>
      </c>
      <c r="I55" s="12">
        <v>1053.5999999999999</v>
      </c>
      <c r="J55" s="2">
        <v>0</v>
      </c>
      <c r="K55" s="2" t="s">
        <v>390</v>
      </c>
    </row>
    <row r="56" spans="1:11" x14ac:dyDescent="0.25">
      <c r="A56" s="2">
        <v>64</v>
      </c>
      <c r="B56" s="2" t="s">
        <v>19</v>
      </c>
      <c r="C56" s="2" t="s">
        <v>403</v>
      </c>
      <c r="D56" s="2" t="s">
        <v>407</v>
      </c>
      <c r="E56" s="2">
        <v>22</v>
      </c>
      <c r="F56" s="2">
        <v>80</v>
      </c>
      <c r="G56" s="2">
        <v>30</v>
      </c>
      <c r="H56" s="27">
        <v>33.25</v>
      </c>
      <c r="I56" s="12">
        <v>731.5</v>
      </c>
      <c r="J56" s="2">
        <v>2660</v>
      </c>
      <c r="K56" s="2" t="s">
        <v>390</v>
      </c>
    </row>
    <row r="57" spans="1:11" x14ac:dyDescent="0.25">
      <c r="A57" s="2">
        <v>65</v>
      </c>
      <c r="B57" s="2" t="s">
        <v>34</v>
      </c>
      <c r="C57" s="2" t="s">
        <v>389</v>
      </c>
      <c r="D57" s="2" t="s">
        <v>391</v>
      </c>
      <c r="E57" s="2">
        <v>76</v>
      </c>
      <c r="F57" s="2">
        <v>0</v>
      </c>
      <c r="G57" s="2">
        <v>0</v>
      </c>
      <c r="H57" s="27">
        <v>21.05</v>
      </c>
      <c r="I57" s="12">
        <v>1599.8</v>
      </c>
      <c r="J57" s="2">
        <v>0</v>
      </c>
      <c r="K57" s="2" t="s">
        <v>390</v>
      </c>
    </row>
    <row r="58" spans="1:11" x14ac:dyDescent="0.25">
      <c r="A58" s="2">
        <v>66</v>
      </c>
      <c r="B58" s="2" t="s">
        <v>75</v>
      </c>
      <c r="C58" s="2" t="s">
        <v>389</v>
      </c>
      <c r="D58" s="2" t="s">
        <v>391</v>
      </c>
      <c r="E58" s="2">
        <v>4</v>
      </c>
      <c r="F58" s="2">
        <v>100</v>
      </c>
      <c r="G58" s="2">
        <v>20</v>
      </c>
      <c r="H58" s="27">
        <v>17</v>
      </c>
      <c r="I58" s="12">
        <v>68</v>
      </c>
      <c r="J58" s="2">
        <v>1700</v>
      </c>
      <c r="K58" s="2" t="s">
        <v>390</v>
      </c>
    </row>
    <row r="59" spans="1:11" x14ac:dyDescent="0.25">
      <c r="A59" s="2">
        <v>67</v>
      </c>
      <c r="B59" s="2" t="s">
        <v>80</v>
      </c>
      <c r="C59" s="2" t="s">
        <v>385</v>
      </c>
      <c r="D59" s="2" t="s">
        <v>413</v>
      </c>
      <c r="E59" s="2">
        <v>52</v>
      </c>
      <c r="F59" s="2">
        <v>0</v>
      </c>
      <c r="G59" s="2">
        <v>10</v>
      </c>
      <c r="H59" s="27">
        <v>14</v>
      </c>
      <c r="I59" s="12">
        <v>728</v>
      </c>
      <c r="J59" s="2">
        <v>0</v>
      </c>
      <c r="K59" s="2" t="s">
        <v>390</v>
      </c>
    </row>
    <row r="60" spans="1:11" x14ac:dyDescent="0.25">
      <c r="A60" s="2">
        <v>68</v>
      </c>
      <c r="B60" s="2" t="s">
        <v>49</v>
      </c>
      <c r="C60" s="2" t="s">
        <v>401</v>
      </c>
      <c r="D60" s="2" t="s">
        <v>386</v>
      </c>
      <c r="E60" s="2">
        <v>6</v>
      </c>
      <c r="F60" s="2">
        <v>10</v>
      </c>
      <c r="G60" s="2">
        <v>15</v>
      </c>
      <c r="H60" s="27">
        <v>12.5</v>
      </c>
      <c r="I60" s="12">
        <v>75</v>
      </c>
      <c r="J60" s="2">
        <v>125</v>
      </c>
      <c r="K60" s="2" t="s">
        <v>390</v>
      </c>
    </row>
    <row r="61" spans="1:11" x14ac:dyDescent="0.25">
      <c r="A61" s="2">
        <v>69</v>
      </c>
      <c r="B61" s="2" t="s">
        <v>20</v>
      </c>
      <c r="C61" s="2" t="s">
        <v>398</v>
      </c>
      <c r="D61" s="2" t="s">
        <v>412</v>
      </c>
      <c r="E61" s="2">
        <v>26</v>
      </c>
      <c r="F61" s="2">
        <v>0</v>
      </c>
      <c r="G61" s="2">
        <v>15</v>
      </c>
      <c r="H61" s="27">
        <v>36</v>
      </c>
      <c r="I61" s="12">
        <v>936</v>
      </c>
      <c r="J61" s="2">
        <v>0</v>
      </c>
      <c r="K61" s="2" t="s">
        <v>390</v>
      </c>
    </row>
    <row r="62" spans="1:11" x14ac:dyDescent="0.25">
      <c r="A62" s="2">
        <v>71</v>
      </c>
      <c r="B62" s="2" t="s">
        <v>24</v>
      </c>
      <c r="C62" s="2" t="s">
        <v>398</v>
      </c>
      <c r="D62" s="2" t="s">
        <v>412</v>
      </c>
      <c r="E62" s="2">
        <v>26</v>
      </c>
      <c r="F62" s="2">
        <v>0</v>
      </c>
      <c r="G62" s="2">
        <v>0</v>
      </c>
      <c r="H62" s="27">
        <v>21.5</v>
      </c>
      <c r="I62" s="12">
        <v>559</v>
      </c>
      <c r="J62" s="2">
        <v>0</v>
      </c>
      <c r="K62" s="2" t="s">
        <v>390</v>
      </c>
    </row>
    <row r="63" spans="1:11" x14ac:dyDescent="0.25">
      <c r="A63" s="2">
        <v>72</v>
      </c>
      <c r="B63" s="2" t="s">
        <v>15</v>
      </c>
      <c r="C63" s="2" t="s">
        <v>398</v>
      </c>
      <c r="D63" s="2" t="s">
        <v>410</v>
      </c>
      <c r="E63" s="2">
        <v>14</v>
      </c>
      <c r="F63" s="2">
        <v>0</v>
      </c>
      <c r="G63" s="2">
        <v>0</v>
      </c>
      <c r="H63" s="27">
        <v>34.799999999999997</v>
      </c>
      <c r="I63" s="12">
        <v>487.2</v>
      </c>
      <c r="J63" s="2">
        <v>0</v>
      </c>
      <c r="K63" s="2" t="s">
        <v>390</v>
      </c>
    </row>
    <row r="64" spans="1:11" x14ac:dyDescent="0.25">
      <c r="A64" s="2">
        <v>73</v>
      </c>
      <c r="B64" s="2" t="s">
        <v>71</v>
      </c>
      <c r="C64" s="2" t="s">
        <v>397</v>
      </c>
      <c r="D64" s="2" t="s">
        <v>414</v>
      </c>
      <c r="E64" s="2">
        <v>101</v>
      </c>
      <c r="F64" s="2">
        <v>0</v>
      </c>
      <c r="G64" s="2">
        <v>5</v>
      </c>
      <c r="H64" s="27">
        <v>15</v>
      </c>
      <c r="I64" s="12">
        <v>1515</v>
      </c>
      <c r="J64" s="2">
        <v>0</v>
      </c>
      <c r="K64" s="2" t="s">
        <v>390</v>
      </c>
    </row>
    <row r="65" spans="1:11" x14ac:dyDescent="0.25">
      <c r="A65" s="2">
        <v>74</v>
      </c>
      <c r="B65" s="2" t="s">
        <v>79</v>
      </c>
      <c r="C65" s="2" t="s">
        <v>393</v>
      </c>
      <c r="D65" s="2" t="s">
        <v>395</v>
      </c>
      <c r="E65" s="2">
        <v>4</v>
      </c>
      <c r="F65" s="2">
        <v>20</v>
      </c>
      <c r="G65" s="2">
        <v>5</v>
      </c>
      <c r="H65" s="27">
        <v>10</v>
      </c>
      <c r="I65" s="12">
        <v>40</v>
      </c>
      <c r="J65" s="2">
        <v>200</v>
      </c>
      <c r="K65" s="2" t="s">
        <v>390</v>
      </c>
    </row>
    <row r="66" spans="1:11" x14ac:dyDescent="0.25">
      <c r="A66" s="2">
        <v>75</v>
      </c>
      <c r="B66" s="2" t="s">
        <v>54</v>
      </c>
      <c r="C66" s="2" t="s">
        <v>385</v>
      </c>
      <c r="D66" s="2" t="s">
        <v>407</v>
      </c>
      <c r="E66" s="2">
        <v>125</v>
      </c>
      <c r="F66" s="2">
        <v>0</v>
      </c>
      <c r="G66" s="2">
        <v>25</v>
      </c>
      <c r="H66" s="27">
        <v>7.75</v>
      </c>
      <c r="I66" s="12">
        <v>968.75</v>
      </c>
      <c r="J66" s="2">
        <v>0</v>
      </c>
      <c r="K66" s="2" t="s">
        <v>390</v>
      </c>
    </row>
    <row r="67" spans="1:11" x14ac:dyDescent="0.25">
      <c r="A67" s="2">
        <v>76</v>
      </c>
      <c r="B67" s="2" t="s">
        <v>30</v>
      </c>
      <c r="C67" s="2" t="s">
        <v>385</v>
      </c>
      <c r="D67" s="2" t="s">
        <v>420</v>
      </c>
      <c r="E67" s="2">
        <v>57</v>
      </c>
      <c r="F67" s="2">
        <v>0</v>
      </c>
      <c r="G67" s="2">
        <v>20</v>
      </c>
      <c r="H67" s="27">
        <v>18</v>
      </c>
      <c r="I67" s="12">
        <v>1026</v>
      </c>
      <c r="J67" s="2">
        <v>0</v>
      </c>
      <c r="K67" s="2" t="s">
        <v>390</v>
      </c>
    </row>
    <row r="68" spans="1:11" x14ac:dyDescent="0.25">
      <c r="A68" s="2">
        <v>77</v>
      </c>
      <c r="B68" s="2" t="s">
        <v>47</v>
      </c>
      <c r="C68" s="2" t="s">
        <v>389</v>
      </c>
      <c r="D68" s="2" t="s">
        <v>407</v>
      </c>
      <c r="E68" s="2">
        <v>32</v>
      </c>
      <c r="F68" s="2">
        <v>0</v>
      </c>
      <c r="G68" s="2">
        <v>15</v>
      </c>
      <c r="H68" s="27">
        <v>13</v>
      </c>
      <c r="I68" s="12">
        <v>416</v>
      </c>
      <c r="J68" s="2">
        <v>0</v>
      </c>
      <c r="K68" s="2" t="s">
        <v>390</v>
      </c>
    </row>
    <row r="69" spans="1:11" x14ac:dyDescent="0.25">
      <c r="A69" s="2">
        <v>1</v>
      </c>
      <c r="B69" s="2" t="s">
        <v>39</v>
      </c>
      <c r="C69" s="2" t="s">
        <v>385</v>
      </c>
      <c r="D69" s="2" t="s">
        <v>386</v>
      </c>
      <c r="E69" s="2">
        <v>39</v>
      </c>
      <c r="F69" s="2">
        <v>0</v>
      </c>
      <c r="G69" s="2">
        <v>10</v>
      </c>
      <c r="H69" s="27">
        <v>18</v>
      </c>
      <c r="I69" s="12">
        <v>702</v>
      </c>
      <c r="J69" s="2">
        <v>0</v>
      </c>
      <c r="K69" s="2" t="s">
        <v>387</v>
      </c>
    </row>
    <row r="70" spans="1:11" x14ac:dyDescent="0.25">
      <c r="A70" s="2">
        <v>2</v>
      </c>
      <c r="B70" s="2" t="s">
        <v>29</v>
      </c>
      <c r="C70" s="2" t="s">
        <v>385</v>
      </c>
      <c r="D70" s="2" t="s">
        <v>388</v>
      </c>
      <c r="E70" s="2">
        <v>17</v>
      </c>
      <c r="F70" s="2">
        <v>40</v>
      </c>
      <c r="G70" s="2">
        <v>25</v>
      </c>
      <c r="H70" s="27">
        <v>19</v>
      </c>
      <c r="I70" s="12">
        <v>323</v>
      </c>
      <c r="J70" s="2">
        <v>760</v>
      </c>
      <c r="K70" s="2" t="s">
        <v>387</v>
      </c>
    </row>
    <row r="71" spans="1:11" x14ac:dyDescent="0.25">
      <c r="A71" s="2">
        <v>5</v>
      </c>
      <c r="B71" s="2" t="s">
        <v>64</v>
      </c>
      <c r="C71" s="2" t="s">
        <v>389</v>
      </c>
      <c r="D71" s="2" t="s">
        <v>391</v>
      </c>
      <c r="E71" s="2">
        <v>0</v>
      </c>
      <c r="F71" s="2">
        <v>0</v>
      </c>
      <c r="G71" s="2">
        <v>0</v>
      </c>
      <c r="H71" s="27">
        <v>21.35</v>
      </c>
      <c r="I71" s="12">
        <v>0</v>
      </c>
      <c r="J71" s="2">
        <v>0</v>
      </c>
      <c r="K71" s="2" t="s">
        <v>387</v>
      </c>
    </row>
    <row r="72" spans="1:11" x14ac:dyDescent="0.25">
      <c r="A72" s="2">
        <v>9</v>
      </c>
      <c r="B72" s="2" t="s">
        <v>57</v>
      </c>
      <c r="C72" s="2" t="s">
        <v>394</v>
      </c>
      <c r="D72" s="2" t="s">
        <v>395</v>
      </c>
      <c r="E72" s="2">
        <v>29</v>
      </c>
      <c r="F72" s="2">
        <v>0</v>
      </c>
      <c r="G72" s="2">
        <v>0</v>
      </c>
      <c r="H72" s="27">
        <v>97</v>
      </c>
      <c r="I72" s="12">
        <v>2813</v>
      </c>
      <c r="J72" s="2">
        <v>0</v>
      </c>
      <c r="K72" s="2" t="s">
        <v>387</v>
      </c>
    </row>
    <row r="73" spans="1:11" x14ac:dyDescent="0.25">
      <c r="A73" s="2">
        <v>17</v>
      </c>
      <c r="B73" s="2" t="s">
        <v>12</v>
      </c>
      <c r="C73" s="2" t="s">
        <v>394</v>
      </c>
      <c r="D73" s="2" t="s">
        <v>402</v>
      </c>
      <c r="E73" s="2">
        <v>0</v>
      </c>
      <c r="F73" s="2">
        <v>0</v>
      </c>
      <c r="G73" s="2">
        <v>0</v>
      </c>
      <c r="H73" s="27">
        <v>39</v>
      </c>
      <c r="I73" s="12">
        <v>0</v>
      </c>
      <c r="J73" s="2">
        <v>0</v>
      </c>
      <c r="K73" s="2" t="s">
        <v>387</v>
      </c>
    </row>
    <row r="74" spans="1:11" x14ac:dyDescent="0.25">
      <c r="A74" s="2">
        <v>24</v>
      </c>
      <c r="B74" s="2" t="s">
        <v>69</v>
      </c>
      <c r="C74" s="2" t="s">
        <v>385</v>
      </c>
      <c r="D74" s="2" t="s">
        <v>405</v>
      </c>
      <c r="E74" s="2">
        <v>20</v>
      </c>
      <c r="F74" s="2">
        <v>0</v>
      </c>
      <c r="G74" s="2">
        <v>0</v>
      </c>
      <c r="H74" s="27">
        <v>4.5</v>
      </c>
      <c r="I74" s="12">
        <v>90</v>
      </c>
      <c r="J74" s="2">
        <v>0</v>
      </c>
      <c r="K74" s="2" t="s">
        <v>387</v>
      </c>
    </row>
    <row r="75" spans="1:11" x14ac:dyDescent="0.25">
      <c r="A75" s="2">
        <v>28</v>
      </c>
      <c r="B75" s="2" t="s">
        <v>14</v>
      </c>
      <c r="C75" s="2" t="s">
        <v>393</v>
      </c>
      <c r="D75" s="2" t="s">
        <v>407</v>
      </c>
      <c r="E75" s="2">
        <v>26</v>
      </c>
      <c r="F75" s="2">
        <v>0</v>
      </c>
      <c r="G75" s="2">
        <v>0</v>
      </c>
      <c r="H75" s="27">
        <v>45.6</v>
      </c>
      <c r="I75" s="12">
        <v>1185.5999999999999</v>
      </c>
      <c r="J75" s="2">
        <v>0</v>
      </c>
      <c r="K75" s="2" t="s">
        <v>387</v>
      </c>
    </row>
    <row r="76" spans="1:11" x14ac:dyDescent="0.25">
      <c r="A76" s="2">
        <v>29</v>
      </c>
      <c r="B76" s="2" t="s">
        <v>6</v>
      </c>
      <c r="C76" s="2" t="s">
        <v>394</v>
      </c>
      <c r="D76" s="2" t="s">
        <v>407</v>
      </c>
      <c r="E76" s="2">
        <v>0</v>
      </c>
      <c r="F76" s="2">
        <v>0</v>
      </c>
      <c r="G76" s="2">
        <v>0</v>
      </c>
      <c r="H76" s="27">
        <v>123.79</v>
      </c>
      <c r="I76" s="12">
        <v>0</v>
      </c>
      <c r="J76" s="2">
        <v>0</v>
      </c>
      <c r="K76" s="2" t="s">
        <v>387</v>
      </c>
    </row>
    <row r="77" spans="1:11" x14ac:dyDescent="0.25">
      <c r="A77" s="2">
        <v>42</v>
      </c>
      <c r="B77" s="2" t="s">
        <v>51</v>
      </c>
      <c r="C77" s="2" t="s">
        <v>403</v>
      </c>
      <c r="D77" s="2" t="s">
        <v>417</v>
      </c>
      <c r="E77" s="2">
        <v>26</v>
      </c>
      <c r="F77" s="2">
        <v>0</v>
      </c>
      <c r="G77" s="2">
        <v>0</v>
      </c>
      <c r="H77" s="27">
        <v>14</v>
      </c>
      <c r="I77" s="12">
        <v>364</v>
      </c>
      <c r="J77" s="2">
        <v>0</v>
      </c>
      <c r="K77" s="2" t="s">
        <v>387</v>
      </c>
    </row>
    <row r="78" spans="1:11" x14ac:dyDescent="0.25">
      <c r="A78" s="6">
        <v>53</v>
      </c>
      <c r="B78" s="6" t="s">
        <v>22</v>
      </c>
      <c r="C78" s="6" t="s">
        <v>394</v>
      </c>
      <c r="D78" s="6" t="s">
        <v>421</v>
      </c>
      <c r="E78" s="6">
        <v>0</v>
      </c>
      <c r="F78" s="6">
        <v>0</v>
      </c>
      <c r="G78" s="6">
        <v>0</v>
      </c>
      <c r="H78" s="28">
        <v>32.799999999999997</v>
      </c>
      <c r="I78" s="16">
        <v>0</v>
      </c>
      <c r="J78" s="6">
        <v>0</v>
      </c>
      <c r="K78" s="6" t="s">
        <v>387</v>
      </c>
    </row>
  </sheetData>
  <phoneticPr fontId="20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B92A-91E4-4B0F-802F-9A607291213A}">
  <dimension ref="A1:J4"/>
  <sheetViews>
    <sheetView zoomScaleNormal="100" workbookViewId="0">
      <selection activeCell="K18" sqref="K18"/>
    </sheetView>
  </sheetViews>
  <sheetFormatPr defaultRowHeight="15" x14ac:dyDescent="0.25"/>
  <cols>
    <col min="1" max="1" width="12.5703125" customWidth="1"/>
    <col min="2" max="2" width="17.140625" customWidth="1"/>
    <col min="3" max="3" width="14" customWidth="1"/>
    <col min="4" max="4" width="18.42578125" customWidth="1"/>
    <col min="5" max="5" width="19.140625" customWidth="1"/>
    <col min="6" max="6" width="13.140625" customWidth="1"/>
    <col min="7" max="7" width="21.28515625" customWidth="1"/>
  </cols>
  <sheetData>
    <row r="1" spans="1:10" x14ac:dyDescent="0.25">
      <c r="A1" s="41" t="s">
        <v>441</v>
      </c>
      <c r="B1" s="42" t="s">
        <v>281</v>
      </c>
      <c r="C1" s="42" t="s">
        <v>442</v>
      </c>
      <c r="D1" s="42" t="s">
        <v>444</v>
      </c>
      <c r="E1" s="42" t="s">
        <v>446</v>
      </c>
      <c r="F1" s="42" t="s">
        <v>443</v>
      </c>
      <c r="G1" s="43" t="s">
        <v>445</v>
      </c>
    </row>
    <row r="2" spans="1:10" x14ac:dyDescent="0.25">
      <c r="A2" s="3">
        <v>2</v>
      </c>
      <c r="B2" s="2" t="s">
        <v>438</v>
      </c>
      <c r="C2" s="2">
        <v>326</v>
      </c>
      <c r="D2" s="2">
        <v>16</v>
      </c>
      <c r="E2" s="29">
        <v>4.9100000000000005E-2</v>
      </c>
      <c r="F2" s="2">
        <v>86.64</v>
      </c>
      <c r="G2" s="4">
        <v>28244.851999999999</v>
      </c>
    </row>
    <row r="3" spans="1:10" x14ac:dyDescent="0.25">
      <c r="A3" s="3">
        <v>1</v>
      </c>
      <c r="B3" s="2" t="s">
        <v>439</v>
      </c>
      <c r="C3" s="2">
        <v>249</v>
      </c>
      <c r="D3" s="2">
        <v>12</v>
      </c>
      <c r="E3" s="29">
        <v>4.82E-2</v>
      </c>
      <c r="F3" s="2">
        <v>65</v>
      </c>
      <c r="G3" s="4">
        <v>16185.328</v>
      </c>
    </row>
    <row r="4" spans="1:10" x14ac:dyDescent="0.25">
      <c r="A4" s="5">
        <v>3</v>
      </c>
      <c r="B4" s="6" t="s">
        <v>440</v>
      </c>
      <c r="C4" s="6">
        <v>255</v>
      </c>
      <c r="D4" s="6">
        <v>9</v>
      </c>
      <c r="E4" s="29">
        <v>3.5299999999999998E-2</v>
      </c>
      <c r="F4" s="6">
        <v>80.44</v>
      </c>
      <c r="G4" s="7">
        <v>20512.5</v>
      </c>
      <c r="J4" s="40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F9EE-4AE8-4C47-9EB8-6084CA79B4FD}">
  <dimension ref="A1:K25"/>
  <sheetViews>
    <sheetView workbookViewId="0">
      <selection activeCell="J31" sqref="J31"/>
    </sheetView>
  </sheetViews>
  <sheetFormatPr defaultRowHeight="15" x14ac:dyDescent="0.25"/>
  <cols>
    <col min="1" max="1" width="14.85546875" customWidth="1"/>
    <col min="2" max="2" width="16.7109375" bestFit="1" customWidth="1"/>
    <col min="3" max="3" width="13.85546875" customWidth="1"/>
    <col min="4" max="4" width="15.5703125" customWidth="1"/>
    <col min="5" max="5" width="12.140625" customWidth="1"/>
    <col min="6" max="6" width="13" style="14" customWidth="1"/>
    <col min="7" max="7" width="12" customWidth="1"/>
    <col min="9" max="9" width="16.7109375" bestFit="1" customWidth="1"/>
    <col min="10" max="10" width="12.7109375" bestFit="1" customWidth="1"/>
    <col min="11" max="11" width="13.5703125" bestFit="1" customWidth="1"/>
  </cols>
  <sheetData>
    <row r="1" spans="1:11" x14ac:dyDescent="0.25">
      <c r="A1" s="41" t="s">
        <v>456</v>
      </c>
      <c r="B1" s="42" t="s">
        <v>457</v>
      </c>
      <c r="C1" s="42" t="s">
        <v>458</v>
      </c>
      <c r="D1" s="42" t="s">
        <v>459</v>
      </c>
      <c r="E1" s="42" t="s">
        <v>460</v>
      </c>
      <c r="F1" s="46" t="s">
        <v>461</v>
      </c>
      <c r="G1" s="43" t="s">
        <v>462</v>
      </c>
    </row>
    <row r="2" spans="1:11" x14ac:dyDescent="0.25">
      <c r="A2" s="3">
        <v>4</v>
      </c>
      <c r="B2" s="2" t="s">
        <v>447</v>
      </c>
      <c r="C2" s="2">
        <v>156</v>
      </c>
      <c r="D2" s="2">
        <v>232890.85</v>
      </c>
      <c r="E2" s="2">
        <v>1492.89</v>
      </c>
      <c r="F2" s="18">
        <v>0.184</v>
      </c>
      <c r="G2" s="4">
        <v>1</v>
      </c>
    </row>
    <row r="3" spans="1:11" x14ac:dyDescent="0.25">
      <c r="A3" s="3">
        <v>3</v>
      </c>
      <c r="B3" s="2" t="s">
        <v>448</v>
      </c>
      <c r="C3" s="2">
        <v>127</v>
      </c>
      <c r="D3" s="2">
        <v>202812.84</v>
      </c>
      <c r="E3" s="2">
        <v>1596.95</v>
      </c>
      <c r="F3" s="18">
        <v>0.16020000000000001</v>
      </c>
      <c r="G3" s="4">
        <v>2</v>
      </c>
    </row>
    <row r="4" spans="1:11" x14ac:dyDescent="0.25">
      <c r="A4" s="3">
        <v>1</v>
      </c>
      <c r="B4" s="2" t="s">
        <v>449</v>
      </c>
      <c r="C4" s="2">
        <v>123</v>
      </c>
      <c r="D4" s="2">
        <v>192107.6</v>
      </c>
      <c r="E4" s="2">
        <v>1561.85</v>
      </c>
      <c r="F4" s="18">
        <v>0.15179999999999999</v>
      </c>
      <c r="G4" s="4">
        <v>3</v>
      </c>
    </row>
    <row r="5" spans="1:11" x14ac:dyDescent="0.25">
      <c r="A5" s="3">
        <v>2</v>
      </c>
      <c r="B5" s="2" t="s">
        <v>450</v>
      </c>
      <c r="C5" s="2">
        <v>96</v>
      </c>
      <c r="D5" s="2">
        <v>166537.76</v>
      </c>
      <c r="E5" s="2">
        <v>1734.77</v>
      </c>
      <c r="F5" s="18">
        <v>0.13159999999999999</v>
      </c>
      <c r="G5" s="4">
        <v>4</v>
      </c>
    </row>
    <row r="6" spans="1:11" x14ac:dyDescent="0.25">
      <c r="A6" s="3">
        <v>8</v>
      </c>
      <c r="B6" s="2" t="s">
        <v>451</v>
      </c>
      <c r="C6" s="2">
        <v>104</v>
      </c>
      <c r="D6" s="2">
        <v>126862.28</v>
      </c>
      <c r="E6" s="2">
        <v>1219.83</v>
      </c>
      <c r="F6" s="18">
        <v>0.1002</v>
      </c>
      <c r="G6" s="4">
        <v>5</v>
      </c>
    </row>
    <row r="7" spans="1:11" x14ac:dyDescent="0.25">
      <c r="A7" s="3">
        <v>7</v>
      </c>
      <c r="B7" s="2" t="s">
        <v>452</v>
      </c>
      <c r="C7" s="2">
        <v>72</v>
      </c>
      <c r="D7" s="2">
        <v>124568.23</v>
      </c>
      <c r="E7" s="2">
        <v>1730.11</v>
      </c>
      <c r="F7" s="18">
        <v>9.8400000000000001E-2</v>
      </c>
      <c r="G7" s="4">
        <v>6</v>
      </c>
    </row>
    <row r="8" spans="1:11" x14ac:dyDescent="0.25">
      <c r="A8" s="3">
        <v>9</v>
      </c>
      <c r="B8" s="2" t="s">
        <v>453</v>
      </c>
      <c r="C8" s="2">
        <v>43</v>
      </c>
      <c r="D8" s="2">
        <v>77308.070000000007</v>
      </c>
      <c r="E8" s="2">
        <v>1797.86</v>
      </c>
      <c r="F8" s="18">
        <v>6.1100000000000002E-2</v>
      </c>
      <c r="G8" s="4">
        <v>7</v>
      </c>
    </row>
    <row r="9" spans="1:11" x14ac:dyDescent="0.25">
      <c r="A9" s="3">
        <v>6</v>
      </c>
      <c r="B9" s="2" t="s">
        <v>454</v>
      </c>
      <c r="C9" s="2">
        <v>67</v>
      </c>
      <c r="D9" s="2">
        <v>73913.13</v>
      </c>
      <c r="E9" s="2">
        <v>1103.18</v>
      </c>
      <c r="F9" s="18">
        <v>5.8400000000000001E-2</v>
      </c>
      <c r="G9" s="4">
        <v>8</v>
      </c>
    </row>
    <row r="10" spans="1:11" x14ac:dyDescent="0.25">
      <c r="A10" s="5">
        <v>5</v>
      </c>
      <c r="B10" s="6" t="s">
        <v>455</v>
      </c>
      <c r="C10" s="6">
        <v>42</v>
      </c>
      <c r="D10" s="6">
        <v>68792.28</v>
      </c>
      <c r="E10" s="6">
        <v>1637.91</v>
      </c>
      <c r="F10" s="19">
        <v>5.4300000000000001E-2</v>
      </c>
      <c r="G10" s="7">
        <v>9</v>
      </c>
    </row>
    <row r="16" spans="1:11" x14ac:dyDescent="0.25">
      <c r="I16" s="37" t="s">
        <v>472</v>
      </c>
      <c r="J16" s="37" t="s">
        <v>473</v>
      </c>
      <c r="K16" s="38" t="s">
        <v>474</v>
      </c>
    </row>
    <row r="17" spans="9:11" x14ac:dyDescent="0.25">
      <c r="I17" s="34" t="s">
        <v>447</v>
      </c>
      <c r="J17" s="35">
        <v>1492.89</v>
      </c>
      <c r="K17" s="36">
        <v>0.184</v>
      </c>
    </row>
    <row r="18" spans="9:11" x14ac:dyDescent="0.25">
      <c r="I18" s="34" t="s">
        <v>448</v>
      </c>
      <c r="J18" s="35">
        <v>1596.95</v>
      </c>
      <c r="K18" s="36">
        <v>0.16020000000000001</v>
      </c>
    </row>
    <row r="19" spans="9:11" x14ac:dyDescent="0.25">
      <c r="I19" s="34" t="s">
        <v>449</v>
      </c>
      <c r="J19" s="35">
        <v>1561.85</v>
      </c>
      <c r="K19" s="36">
        <v>0.15179999999999999</v>
      </c>
    </row>
    <row r="20" spans="9:11" x14ac:dyDescent="0.25">
      <c r="I20" s="32" t="s">
        <v>450</v>
      </c>
      <c r="J20" s="32">
        <v>1734.77</v>
      </c>
      <c r="K20" s="33">
        <v>0.13159999999999999</v>
      </c>
    </row>
    <row r="21" spans="9:11" x14ac:dyDescent="0.25">
      <c r="I21" s="30" t="s">
        <v>451</v>
      </c>
      <c r="J21" s="30">
        <v>1219.83</v>
      </c>
      <c r="K21" s="31">
        <v>0.1002</v>
      </c>
    </row>
    <row r="22" spans="9:11" x14ac:dyDescent="0.25">
      <c r="I22" s="32" t="s">
        <v>452</v>
      </c>
      <c r="J22" s="32">
        <v>1730.11</v>
      </c>
      <c r="K22" s="33">
        <v>9.8400000000000001E-2</v>
      </c>
    </row>
    <row r="23" spans="9:11" x14ac:dyDescent="0.25">
      <c r="I23" s="34" t="s">
        <v>453</v>
      </c>
      <c r="J23" s="34">
        <v>1797.86</v>
      </c>
      <c r="K23" s="31">
        <v>6.1100000000000002E-2</v>
      </c>
    </row>
    <row r="24" spans="9:11" x14ac:dyDescent="0.25">
      <c r="I24" s="32" t="s">
        <v>454</v>
      </c>
      <c r="J24" s="32">
        <v>1103.18</v>
      </c>
      <c r="K24" s="33">
        <v>5.8400000000000001E-2</v>
      </c>
    </row>
    <row r="25" spans="9:11" x14ac:dyDescent="0.25">
      <c r="I25" s="30" t="s">
        <v>455</v>
      </c>
      <c r="J25" s="30">
        <v>1637.91</v>
      </c>
      <c r="K25" s="31">
        <v>5.4300000000000001E-2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7EBCE5-3ED7-46F2-ABAC-5A877D8094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Revenue dynamics</vt:lpstr>
      <vt:lpstr>ABC-analysis</vt:lpstr>
      <vt:lpstr>RFM-analysis</vt:lpstr>
      <vt:lpstr>Retention rate &amp; LTV</vt:lpstr>
      <vt:lpstr>Supply Chain Analysis</vt:lpstr>
      <vt:lpstr>Shippers KPI</vt:lpstr>
      <vt:lpstr>Employees 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Анна Беляева</cp:lastModifiedBy>
  <dcterms:created xsi:type="dcterms:W3CDTF">2026-09-08T20:00:55Z</dcterms:created>
  <dcterms:modified xsi:type="dcterms:W3CDTF">2026-09-17T08:54:43Z</dcterms:modified>
</cp:coreProperties>
</file>